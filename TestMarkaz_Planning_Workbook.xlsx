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eature Matrix" sheetId="2" state="visible" r:id="rId4"/>
    <sheet name="DB Schema" sheetId="3" state="visible" r:id="rId5"/>
    <sheet name="API Endpoints" sheetId="4" state="visible" r:id="rId6"/>
    <sheet name="MVP Roadmap" sheetId="5" state="visible" r:id="rId7"/>
    <sheet name="Cost Model" sheetId="6" state="visible" r:id="rId8"/>
    <sheet name="Revenue Model" sheetId="7" state="visible" r:id="rId9"/>
    <sheet name="AI Cost Calculator" sheetId="8" state="visible" r:id="rId10"/>
    <sheet name="Risk Register" sheetId="9" state="visible" r:id="rId11"/>
    <sheet name="KPI Dashbo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<sst xmlns="http://schemas.openxmlformats.org/spreadsheetml/2006/main" count="1348" uniqueCount="784">
  <si>
    <t xml:space="preserve">TestMarkaz — Planning Workbook</t>
  </si>
  <si>
    <t xml:space="preserve">Document version</t>
  </si>
  <si>
    <t xml:space="preserve">1.0</t>
  </si>
  <si>
    <t xml:space="preserve">Date</t>
  </si>
  <si>
    <t xml:space="preserve">May 2026</t>
  </si>
  <si>
    <t xml:space="preserve">Target market</t>
  </si>
  <si>
    <t xml:space="preserve">Uzbekistan (primary)</t>
  </si>
  <si>
    <t xml:space="preserve">Team context</t>
  </si>
  <si>
    <t xml:space="preserve">Solo founder / very small team</t>
  </si>
  <si>
    <t xml:space="preserve">Contents</t>
  </si>
  <si>
    <t xml:space="preserve">Sheet</t>
  </si>
  <si>
    <t xml:space="preserve">Description</t>
  </si>
  <si>
    <t xml:space="preserve">Feature Matrix</t>
  </si>
  <si>
    <t xml:space="preserve">Subscription tiers × features (Free / Premium / Tutor Pro / Center)</t>
  </si>
  <si>
    <t xml:space="preserve">DB Schema</t>
  </si>
  <si>
    <t xml:space="preserve">Tables, key columns, indexes, row size, year-1 estimate</t>
  </si>
  <si>
    <t xml:space="preserve">API Endpoints</t>
  </si>
  <si>
    <t xml:space="preserve">Full REST surface; method, path, auth, rate limit</t>
  </si>
  <si>
    <t xml:space="preserve">MVP Roadmap</t>
  </si>
  <si>
    <t xml:space="preserve">Week-by-week plan for Phase 0 → Phase 2 (32 weeks)</t>
  </si>
  <si>
    <t xml:space="preserve">Cost Model</t>
  </si>
  <si>
    <t xml:space="preserve">Monthly infra + AI + people costs, with formulas</t>
  </si>
  <si>
    <t xml:space="preserve">Revenue Model</t>
  </si>
  <si>
    <t xml:space="preserve">MAU → conversion → MRR projection year 1</t>
  </si>
  <si>
    <t xml:space="preserve">AI Cost Calculator</t>
  </si>
  <si>
    <t xml:space="preserve">Token-based cost per user per day; tweak to see margin</t>
  </si>
  <si>
    <t xml:space="preserve">Risk Register</t>
  </si>
  <si>
    <t xml:space="preserve">Risks, likelihood, impact, mitigations</t>
  </si>
  <si>
    <t xml:space="preserve">KPI Dashboard</t>
  </si>
  <si>
    <t xml:space="preserve">Targets and progress at MVP / Year 1 milestones</t>
  </si>
  <si>
    <t xml:space="preserve">Subscription Feature Matrix</t>
  </si>
  <si>
    <t xml:space="preserve">Feature</t>
  </si>
  <si>
    <t xml:space="preserve">Free</t>
  </si>
  <si>
    <t xml:space="preserve">Premium</t>
  </si>
  <si>
    <t xml:space="preserve">Tutor Pro</t>
  </si>
  <si>
    <t xml:space="preserve">Center</t>
  </si>
  <si>
    <t xml:space="preserve">Price (UZS / month)</t>
  </si>
  <si>
    <t xml:space="preserve">0</t>
  </si>
  <si>
    <t xml:space="preserve">29,000</t>
  </si>
  <si>
    <t xml:space="preserve">99,000</t>
  </si>
  <si>
    <t xml:space="preserve">990,000 + 9,000/student</t>
  </si>
  <si>
    <t xml:space="preserve">Price (USD)</t>
  </si>
  <si>
    <t xml:space="preserve">$2.30</t>
  </si>
  <si>
    <t xml:space="preserve">$7.90</t>
  </si>
  <si>
    <t xml:space="preserve">$78 + $0.71/student</t>
  </si>
  <si>
    <t xml:space="preserve">Read curated books</t>
  </si>
  <si>
    <t xml:space="preserve">✓</t>
  </si>
  <si>
    <t xml:space="preserve">Practice questions / day</t>
  </si>
  <si>
    <t xml:space="preserve">20</t>
  </si>
  <si>
    <t xml:space="preserve">Unlimited</t>
  </si>
  <si>
    <t xml:space="preserve">Timed mock exams</t>
  </si>
  <si>
    <t xml:space="preserve">1/week</t>
  </si>
  <si>
    <t xml:space="preserve">AI question generation / month</t>
  </si>
  <si>
    <t xml:space="preserve">—</t>
  </si>
  <si>
    <t xml:space="preserve">100</t>
  </si>
  <si>
    <t xml:space="preserve">500</t>
  </si>
  <si>
    <t xml:space="preserve">2,000</t>
  </si>
  <si>
    <t xml:space="preserve">AI study assistant messages / day</t>
  </si>
  <si>
    <t xml:space="preserve">10</t>
  </si>
  <si>
    <t xml:space="preserve">200</t>
  </si>
  <si>
    <t xml:space="preserve">300/student</t>
  </si>
  <si>
    <t xml:space="preserve">Detailed analytics</t>
  </si>
  <si>
    <t xml:space="preserve">Last 7 days</t>
  </si>
  <si>
    <t xml:space="preserve">Full history</t>
  </si>
  <si>
    <t xml:space="preserve">Full + per-class</t>
  </si>
  <si>
    <t xml:space="preserve">Full</t>
  </si>
  <si>
    <t xml:space="preserve">Weak-topic recommendations</t>
  </si>
  <si>
    <t xml:space="preserve">Offline reading (books)</t>
  </si>
  <si>
    <t xml:space="preserve">1</t>
  </si>
  <si>
    <t xml:space="preserve">Ads</t>
  </si>
  <si>
    <t xml:space="preserve">Yes</t>
  </si>
  <si>
    <t xml:space="preserve">No</t>
  </si>
  <si>
    <t xml:space="preserve">Streak freezes / month</t>
  </si>
  <si>
    <t xml:space="preserve">5</t>
  </si>
  <si>
    <t xml:space="preserve">10/student</t>
  </si>
  <si>
    <t xml:space="preserve">Voice mode (Whisper + TTS)</t>
  </si>
  <si>
    <t xml:space="preserve">Upload own books</t>
  </si>
  <si>
    <t xml:space="preserve">3</t>
  </si>
  <si>
    <t xml:space="preserve">50</t>
  </si>
  <si>
    <t xml:space="preserve">Classroom tools</t>
  </si>
  <si>
    <t xml:space="preserve">3 classrooms</t>
  </si>
  <si>
    <t xml:space="preserve">Bulk student onboarding</t>
  </si>
  <si>
    <t xml:space="preserve">White-label landing</t>
  </si>
  <si>
    <t xml:space="preserve">AI credit packs (top-up)</t>
  </si>
  <si>
    <t xml:space="preserve">PostgreSQL Schema — Tables Overview</t>
  </si>
  <si>
    <t xml:space="preserve">Module</t>
  </si>
  <si>
    <t xml:space="preserve">Table</t>
  </si>
  <si>
    <t xml:space="preserve">Purpose</t>
  </si>
  <si>
    <t xml:space="preserve">Key columns</t>
  </si>
  <si>
    <t xml:space="preserve">Indexes</t>
  </si>
  <si>
    <t xml:space="preserve">Avg row size</t>
  </si>
  <si>
    <t xml:space="preserve">Yr-1 rows</t>
  </si>
  <si>
    <t xml:space="preserve">Yr-1 storage</t>
  </si>
  <si>
    <t xml:space="preserve">auth</t>
  </si>
  <si>
    <t xml:space="preserve">users</t>
  </si>
  <si>
    <t xml:space="preserve">Identity, role, locale, premium flags</t>
  </si>
  <si>
    <t xml:space="preserve">id, public_id, email/phone, role, grade, region, is_premium</t>
  </si>
  <si>
    <t xml:space="preserve">(role,grade); (region)</t>
  </si>
  <si>
    <t xml:space="preserve">1 KB</t>
  </si>
  <si>
    <t xml:space="preserve">250 MB</t>
  </si>
  <si>
    <t xml:space="preserve">social_accounts</t>
  </si>
  <si>
    <t xml:space="preserve">Google/Apple/Telegram links</t>
  </si>
  <si>
    <t xml:space="preserve">user_id, provider, provider_uid</t>
  </si>
  <si>
    <t xml:space="preserve">(provider,provider_uid)</t>
  </si>
  <si>
    <t xml:space="preserve">0.3 KB</t>
  </si>
  <si>
    <t xml:space="preserve">24 MB</t>
  </si>
  <si>
    <t xml:space="preserve">user_devices</t>
  </si>
  <si>
    <t xml:space="preserve">FCM token, last seen, platform</t>
  </si>
  <si>
    <t xml:space="preserve">user_id, device_uid, platform, push_token</t>
  </si>
  <si>
    <t xml:space="preserve">(user_id,device_uid) unique</t>
  </si>
  <si>
    <t xml:space="preserve">120 MB</t>
  </si>
  <si>
    <t xml:space="preserve">sessions</t>
  </si>
  <si>
    <t xml:space="preserve">Hashed refresh tokens</t>
  </si>
  <si>
    <t xml:space="preserve">user_id, refresh_token_hash, expires_at</t>
  </si>
  <si>
    <t xml:space="preserve">(user_id) where active</t>
  </si>
  <si>
    <t xml:space="preserve">0.4 KB</t>
  </si>
  <si>
    <t xml:space="preserve">240 MB</t>
  </si>
  <si>
    <t xml:space="preserve">taxonomy</t>
  </si>
  <si>
    <t xml:space="preserve">subjects</t>
  </si>
  <si>
    <t xml:space="preserve">Localised subject catalogue</t>
  </si>
  <si>
    <t xml:space="preserve">code, name_uz/ru/en</t>
  </si>
  <si>
    <t xml:space="preserve">0.5 KB</t>
  </si>
  <si>
    <t xml:space="preserve">&lt;1 MB</t>
  </si>
  <si>
    <t xml:space="preserve">exam_types</t>
  </si>
  <si>
    <t xml:space="preserve">DTM, IELTS, school_final, ...</t>
  </si>
  <si>
    <t xml:space="preserve">code, country</t>
  </si>
  <si>
    <t xml:space="preserve">topics</t>
  </si>
  <si>
    <t xml:space="preserve">Hierarchical topic tree</t>
  </si>
  <si>
    <t xml:space="preserve">subject_id, parent_id, code, grade</t>
  </si>
  <si>
    <t xml:space="preserve">(subject_id,grade)</t>
  </si>
  <si>
    <t xml:space="preserve">1 MB</t>
  </si>
  <si>
    <t xml:space="preserve">books</t>
  </si>
  <si>
    <t xml:space="preserve">Metadata + R2 key</t>
  </si>
  <si>
    <t xml:space="preserve">subject_id, grade, language, file_url, status</t>
  </si>
  <si>
    <t xml:space="preserve">(subject,grade,lang); (status)</t>
  </si>
  <si>
    <t xml:space="preserve">1.5 KB</t>
  </si>
  <si>
    <t xml:space="preserve">8 MB</t>
  </si>
  <si>
    <t xml:space="preserve">chapters</t>
  </si>
  <si>
    <t xml:space="preserve">Per-book chapter list</t>
  </si>
  <si>
    <t xml:space="preserve">book_id, number, start_page, end_page, topic_id</t>
  </si>
  <si>
    <t xml:space="preserve">(book_id)</t>
  </si>
  <si>
    <t xml:space="preserve">38 MB</t>
  </si>
  <si>
    <t xml:space="preserve">pages</t>
  </si>
  <si>
    <t xml:space="preserve">Page text + tsvector</t>
  </si>
  <si>
    <t xml:space="preserve">book_id, page_number, text, text_tsv</t>
  </si>
  <si>
    <t xml:space="preserve">GIN(text_tsv); (book,chapter)</t>
  </si>
  <si>
    <t xml:space="preserve">5 KB</t>
  </si>
  <si>
    <t xml:space="preserve">25 GB</t>
  </si>
  <si>
    <t xml:space="preserve">book_chunks</t>
  </si>
  <si>
    <t xml:space="preserve">RAG payload; vector in Qdrant</t>
  </si>
  <si>
    <t xml:space="preserve">book_id, chapter_id, text, qdrant_point_id, content_hash</t>
  </si>
  <si>
    <t xml:space="preserve">(book,chapter); (hash)</t>
  </si>
  <si>
    <t xml:space="preserve">2 KB</t>
  </si>
  <si>
    <t xml:space="preserve">50 GB</t>
  </si>
  <si>
    <t xml:space="preserve">bookmarks</t>
  </si>
  <si>
    <t xml:space="preserve">Per-user page bookmarks</t>
  </si>
  <si>
    <t xml:space="preserve">user_id, book_id, page</t>
  </si>
  <si>
    <t xml:space="preserve">(user,book,page) unique</t>
  </si>
  <si>
    <t xml:space="preserve">0.2 KB</t>
  </si>
  <si>
    <t xml:space="preserve">200 MB</t>
  </si>
  <si>
    <t xml:space="preserve">highlights</t>
  </si>
  <si>
    <t xml:space="preserve">Per-user highlights</t>
  </si>
  <si>
    <t xml:space="preserve">user_id, book_id, selection, position</t>
  </si>
  <si>
    <t xml:space="preserve">(user,book)</t>
  </si>
  <si>
    <t xml:space="preserve">user_book_progress</t>
  </si>
  <si>
    <t xml:space="preserve">Last page, time spent</t>
  </si>
  <si>
    <t xml:space="preserve">user_id, book_id, last_page, read_seconds</t>
  </si>
  <si>
    <t xml:space="preserve">PK(user,book)</t>
  </si>
  <si>
    <t xml:space="preserve">160 MB</t>
  </si>
  <si>
    <t xml:space="preserve">ai</t>
  </si>
  <si>
    <t xml:space="preserve">questions</t>
  </si>
  <si>
    <t xml:space="preserve">AI-generated or curated</t>
  </si>
  <si>
    <t xml:space="preserve">book_id, chapter_id, type, difficulty, language, prompt</t>
  </si>
  <si>
    <t xml:space="preserve">(book,chapter); (topic,difficulty)</t>
  </si>
  <si>
    <t xml:space="preserve">15 GB</t>
  </si>
  <si>
    <t xml:space="preserve">question_options</t>
  </si>
  <si>
    <t xml:space="preserve">MCQ options</t>
  </si>
  <si>
    <t xml:space="preserve">question_id, letter, text, is_correct</t>
  </si>
  <si>
    <t xml:space="preserve">PK(question,letter)</t>
  </si>
  <si>
    <t xml:space="preserve">flashcards</t>
  </si>
  <si>
    <t xml:space="preserve">SM-2 state per user</t>
  </si>
  <si>
    <t xml:space="preserve">user_id, ease, interval_days, due_at</t>
  </si>
  <si>
    <t xml:space="preserve">(user,due_at)</t>
  </si>
  <si>
    <t xml:space="preserve">2.5 GB</t>
  </si>
  <si>
    <t xml:space="preserve">ai_jobs</t>
  </si>
  <si>
    <t xml:space="preserve">Background job ledger w/ cost</t>
  </si>
  <si>
    <t xml:space="preserve">type, payload, status, cost_cents</t>
  </si>
  <si>
    <t xml:space="preserve">(status,type)</t>
  </si>
  <si>
    <t xml:space="preserve">2 GB</t>
  </si>
  <si>
    <t xml:space="preserve">ai_chat_threads</t>
  </si>
  <si>
    <t xml:space="preserve">Assistant threads</t>
  </si>
  <si>
    <t xml:space="preserve">user_id, book_id, title</t>
  </si>
  <si>
    <t xml:space="preserve">(user_id)</t>
  </si>
  <si>
    <t xml:space="preserve">100 MB</t>
  </si>
  <si>
    <t xml:space="preserve">ai_chat_messages</t>
  </si>
  <si>
    <t xml:space="preserve">Chat history with citations</t>
  </si>
  <si>
    <t xml:space="preserve">thread_id, role, content, citations</t>
  </si>
  <si>
    <t xml:space="preserve">(thread,created_at)</t>
  </si>
  <si>
    <t xml:space="preserve">exams</t>
  </si>
  <si>
    <t xml:space="preserve">Exam definitions</t>
  </si>
  <si>
    <t xml:space="preserve">subject_id, exam_type_id, duration_sec, randomize</t>
  </si>
  <si>
    <t xml:space="preserve">5 MB</t>
  </si>
  <si>
    <t xml:space="preserve">exam_questions</t>
  </si>
  <si>
    <t xml:space="preserve">Junction table</t>
  </si>
  <si>
    <t xml:space="preserve">exam_id, question_id, position, points</t>
  </si>
  <si>
    <t xml:space="preserve">PK(exam,question)</t>
  </si>
  <si>
    <t xml:space="preserve">50 MB</t>
  </si>
  <si>
    <t xml:space="preserve">attempts</t>
  </si>
  <si>
    <t xml:space="preserve">Per-user attempt; server ends_at</t>
  </si>
  <si>
    <t xml:space="preserve">user_id, exam_id, question_set[], ends_at</t>
  </si>
  <si>
    <t xml:space="preserve">(user,started_at)</t>
  </si>
  <si>
    <t xml:space="preserve">9 GB</t>
  </si>
  <si>
    <t xml:space="preserve">answers</t>
  </si>
  <si>
    <t xml:space="preserve">Each question response</t>
  </si>
  <si>
    <t xml:space="preserve">attempt_id, question_id, selected_option, is_correct</t>
  </si>
  <si>
    <t xml:space="preserve">PARTITION BY MONTH</t>
  </si>
  <si>
    <t xml:space="preserve">120 GB</t>
  </si>
  <si>
    <t xml:space="preserve">analytics</t>
  </si>
  <si>
    <t xml:space="preserve">study_sessions</t>
  </si>
  <si>
    <t xml:space="preserve">Session start/end</t>
  </si>
  <si>
    <t xml:space="preserve">user_id, started_at, ended_at</t>
  </si>
  <si>
    <t xml:space="preserve">6 GB</t>
  </si>
  <si>
    <t xml:space="preserve">topic_mastery</t>
  </si>
  <si>
    <t xml:space="preserve">Elo-style mastery</t>
  </si>
  <si>
    <t xml:space="preserve">user_id, topic_id, mastery, accuracy</t>
  </si>
  <si>
    <t xml:space="preserve">PK(user,topic); (user,mastery)</t>
  </si>
  <si>
    <t xml:space="preserve">7.5 GB</t>
  </si>
  <si>
    <t xml:space="preserve">gamification</t>
  </si>
  <si>
    <t xml:space="preserve">streaks</t>
  </si>
  <si>
    <t xml:space="preserve">Per-user streak</t>
  </si>
  <si>
    <t xml:space="preserve">user_id, current_days, longest_days</t>
  </si>
  <si>
    <t xml:space="preserve">PK(user)</t>
  </si>
  <si>
    <t xml:space="preserve">0.1 KB</t>
  </si>
  <si>
    <t xml:space="preserve">25 MB</t>
  </si>
  <si>
    <t xml:space="preserve">xp_events</t>
  </si>
  <si>
    <t xml:space="preserve">XP awards ledger</t>
  </si>
  <si>
    <t xml:space="preserve">user_id, reason, amount</t>
  </si>
  <si>
    <t xml:space="preserve">(user,created_at)</t>
  </si>
  <si>
    <t xml:space="preserve">20 GB</t>
  </si>
  <si>
    <t xml:space="preserve">badges</t>
  </si>
  <si>
    <t xml:space="preserve">Catalogue</t>
  </si>
  <si>
    <t xml:space="preserve">code, name_uz/ru/en, criteria</t>
  </si>
  <si>
    <t xml:space="preserve">user_badges</t>
  </si>
  <si>
    <t xml:space="preserve">Earned badges</t>
  </si>
  <si>
    <t xml:space="preserve">user_id, badge_id, awarded_at</t>
  </si>
  <si>
    <t xml:space="preserve">PK(user,badge)</t>
  </si>
  <si>
    <t xml:space="preserve">leaderboard_snapshots</t>
  </si>
  <si>
    <t xml:space="preserve">Daily materialised</t>
  </si>
  <si>
    <t xml:space="preserve">snapshot_date, scope, rank, xp</t>
  </si>
  <si>
    <t xml:space="preserve">PK(date,scope,user)</t>
  </si>
  <si>
    <t xml:space="preserve">classrooms</t>
  </si>
  <si>
    <t xml:space="preserve">Teacher-owned class</t>
  </si>
  <si>
    <t xml:space="preserve">name, join_code, teacher_id, subject_id</t>
  </si>
  <si>
    <t xml:space="preserve">(join_code) unique</t>
  </si>
  <si>
    <t xml:space="preserve">2.5 MB</t>
  </si>
  <si>
    <t xml:space="preserve">classroom_memberships</t>
  </si>
  <si>
    <t xml:space="preserve">Student↔class</t>
  </si>
  <si>
    <t xml:space="preserve">classroom_id, user_id, role</t>
  </si>
  <si>
    <t xml:space="preserve">PK(class,user)</t>
  </si>
  <si>
    <t xml:space="preserve">15 MB</t>
  </si>
  <si>
    <t xml:space="preserve">assignments</t>
  </si>
  <si>
    <t xml:space="preserve">Homework</t>
  </si>
  <si>
    <t xml:space="preserve">classroom_id, exam_id, book_id, due_at</t>
  </si>
  <si>
    <t xml:space="preserve">(classroom_id)</t>
  </si>
  <si>
    <t xml:space="preserve">billing</t>
  </si>
  <si>
    <t xml:space="preserve">subscription_plans</t>
  </si>
  <si>
    <t xml:space="preserve">Plans catalogue</t>
  </si>
  <si>
    <t xml:space="preserve">code, price_cents, currency, interval</t>
  </si>
  <si>
    <t xml:space="preserve">subscriptions</t>
  </si>
  <si>
    <t xml:space="preserve">User sub state machine</t>
  </si>
  <si>
    <t xml:space="preserve">user_id, plan_id, status, current_period_end</t>
  </si>
  <si>
    <t xml:space="preserve">(user) where active</t>
  </si>
  <si>
    <t xml:space="preserve">payments</t>
  </si>
  <si>
    <t xml:space="preserve">Provider receipts</t>
  </si>
  <si>
    <t xml:space="preserve">provider, provider_ref, amount, raw JSONB</t>
  </si>
  <si>
    <t xml:space="preserve">(provider,ref); (user,created_at)</t>
  </si>
  <si>
    <t xml:space="preserve">ai_credits_ledger</t>
  </si>
  <si>
    <t xml:space="preserve">Append-only credit history</t>
  </si>
  <si>
    <t xml:space="preserve">user_id, delta, balance_after</t>
  </si>
  <si>
    <t xml:space="preserve">admin</t>
  </si>
  <si>
    <t xml:space="preserve">reports</t>
  </si>
  <si>
    <t xml:space="preserve">Abuse/quality complaints</t>
  </si>
  <si>
    <t xml:space="preserve">target_type, target_id, status, reason</t>
  </si>
  <si>
    <t xml:space="preserve">(status)</t>
  </si>
  <si>
    <t xml:space="preserve">audit_log</t>
  </si>
  <si>
    <t xml:space="preserve">Every admin action</t>
  </si>
  <si>
    <t xml:space="preserve">actor_id, action, target, metadata</t>
  </si>
  <si>
    <t xml:space="preserve">(target_type,target_id)</t>
  </si>
  <si>
    <t xml:space="preserve">notifications</t>
  </si>
  <si>
    <t xml:space="preserve">Per-user inbox</t>
  </si>
  <si>
    <t xml:space="preserve">user_id, type, title, body, channel</t>
  </si>
  <si>
    <t xml:space="preserve">(user) where unread</t>
  </si>
  <si>
    <t xml:space="preserve">REST API Surface — /api/v1/...</t>
  </si>
  <si>
    <t xml:space="preserve">Area</t>
  </si>
  <si>
    <t xml:space="preserve">Method</t>
  </si>
  <si>
    <t xml:space="preserve">Path</t>
  </si>
  <si>
    <t xml:space="preserve">Auth</t>
  </si>
  <si>
    <t xml:space="preserve">Rate limit (premium)</t>
  </si>
  <si>
    <t xml:space="preserve">POST</t>
  </si>
  <si>
    <t xml:space="preserve">/auth/register</t>
  </si>
  <si>
    <t xml:space="preserve">public</t>
  </si>
  <si>
    <t xml:space="preserve">5/min/IP</t>
  </si>
  <si>
    <t xml:space="preserve">Email or phone + password</t>
  </si>
  <si>
    <t xml:space="preserve">/auth/login</t>
  </si>
  <si>
    <t xml:space="preserve">Returns access + refresh tokens</t>
  </si>
  <si>
    <t xml:space="preserve">/auth/refresh</t>
  </si>
  <si>
    <t xml:space="preserve">cookie/refresh</t>
  </si>
  <si>
    <t xml:space="preserve">30/min</t>
  </si>
  <si>
    <t xml:space="preserve">Rotate access token</t>
  </si>
  <si>
    <t xml:space="preserve">/auth/logout</t>
  </si>
  <si>
    <t xml:space="preserve">user</t>
  </si>
  <si>
    <t xml:space="preserve">60/min</t>
  </si>
  <si>
    <t xml:space="preserve">Revoke refresh token</t>
  </si>
  <si>
    <t xml:space="preserve">/auth/social/google</t>
  </si>
  <si>
    <t xml:space="preserve">Exchange Google ID token</t>
  </si>
  <si>
    <t xml:space="preserve">/auth/social/apple</t>
  </si>
  <si>
    <t xml:space="preserve">Apple Sign-In</t>
  </si>
  <si>
    <t xml:space="preserve">/auth/social/telegram</t>
  </si>
  <si>
    <t xml:space="preserve">Telegram Login Widget</t>
  </si>
  <si>
    <t xml:space="preserve">/auth/otp/request</t>
  </si>
  <si>
    <t xml:space="preserve">3/min/IP</t>
  </si>
  <si>
    <t xml:space="preserve">Send Eskiz.uz SMS OTP</t>
  </si>
  <si>
    <t xml:space="preserve">/auth/otp/verify</t>
  </si>
  <si>
    <t xml:space="preserve">Verify OTP + log in</t>
  </si>
  <si>
    <t xml:space="preserve">Users</t>
  </si>
  <si>
    <t xml:space="preserve">GET</t>
  </si>
  <si>
    <t xml:space="preserve">/me</t>
  </si>
  <si>
    <t xml:space="preserve">1000/min</t>
  </si>
  <si>
    <t xml:space="preserve">Current profile + flags</t>
  </si>
  <si>
    <t xml:space="preserve">PATCH</t>
  </si>
  <si>
    <t xml:space="preserve">300/min</t>
  </si>
  <si>
    <t xml:space="preserve">Update name, avatar, region, locale</t>
  </si>
  <si>
    <t xml:space="preserve">DELETE</t>
  </si>
  <si>
    <t xml:space="preserve">5/day</t>
  </si>
  <si>
    <t xml:space="preserve">GDPR soft-delete</t>
  </si>
  <si>
    <t xml:space="preserve">/me/avatar</t>
  </si>
  <si>
    <t xml:space="preserve">Multipart upload</t>
  </si>
  <si>
    <t xml:space="preserve">/me/devices</t>
  </si>
  <si>
    <t xml:space="preserve">List active devices</t>
  </si>
  <si>
    <t xml:space="preserve">/me/devices/{id}</t>
  </si>
  <si>
    <t xml:space="preserve">Sign out device</t>
  </si>
  <si>
    <t xml:space="preserve">/me/export</t>
  </si>
  <si>
    <t xml:space="preserve">1/day</t>
  </si>
  <si>
    <t xml:space="preserve">GDPR async export</t>
  </si>
  <si>
    <t xml:space="preserve">Taxonomy</t>
  </si>
  <si>
    <t xml:space="preserve">/subjects</t>
  </si>
  <si>
    <t xml:space="preserve">Localized subject catalogue</t>
  </si>
  <si>
    <t xml:space="preserve">/exam-types</t>
  </si>
  <si>
    <t xml:space="preserve">DTM, school_final, IELTS, ...</t>
  </si>
  <si>
    <t xml:space="preserve">/topics</t>
  </si>
  <si>
    <t xml:space="preserve">Topic tree filtered by subject/grade</t>
  </si>
  <si>
    <t xml:space="preserve">Books</t>
  </si>
  <si>
    <t xml:space="preserve">/books</t>
  </si>
  <si>
    <t xml:space="preserve">Filter subject/grade/lang/exam/diff/q</t>
  </si>
  <si>
    <t xml:space="preserve">/books/{id}</t>
  </si>
  <si>
    <t xml:space="preserve">Detail + chapters</t>
  </si>
  <si>
    <t xml:space="preserve">/books/{id}/chapters</t>
  </si>
  <si>
    <t xml:space="preserve">Chapter list</t>
  </si>
  <si>
    <t xml:space="preserve">/books/{id}/pages/{p}</t>
  </si>
  <si>
    <t xml:space="preserve">Page text</t>
  </si>
  <si>
    <t xml:space="preserve">/books/{id}/file</t>
  </si>
  <si>
    <t xml:space="preserve">Signed 5-min download URL</t>
  </si>
  <si>
    <t xml:space="preserve">teacher/admin</t>
  </si>
  <si>
    <t xml:space="preserve">Upload</t>
  </si>
  <si>
    <t xml:space="preserve">owner/admin</t>
  </si>
  <si>
    <t xml:space="preserve">Edit metadata</t>
  </si>
  <si>
    <t xml:space="preserve">Soft delete</t>
  </si>
  <si>
    <t xml:space="preserve">/books/{id}/process</t>
  </si>
  <si>
    <t xml:space="preserve">Reprocess (admin)</t>
  </si>
  <si>
    <t xml:space="preserve">/books/{id}/search</t>
  </si>
  <si>
    <t xml:space="preserve">120/min</t>
  </si>
  <si>
    <t xml:space="preserve">Full-text + semantic</t>
  </si>
  <si>
    <t xml:space="preserve">GET/POST/DELETE</t>
  </si>
  <si>
    <t xml:space="preserve">/bookmarks</t>
  </si>
  <si>
    <t xml:space="preserve">Bookmark CRUD</t>
  </si>
  <si>
    <t xml:space="preserve">/highlights</t>
  </si>
  <si>
    <t xml:space="preserve">Highlight CRUD</t>
  </si>
  <si>
    <t xml:space="preserve">/me/library</t>
  </si>
  <si>
    <t xml:space="preserve">Books with progress</t>
  </si>
  <si>
    <t xml:space="preserve">PUT</t>
  </si>
  <si>
    <t xml:space="preserve">/me/library/{id}/progress</t>
  </si>
  <si>
    <t xml:space="preserve">Update last_page</t>
  </si>
  <si>
    <t xml:space="preserve">AI</t>
  </si>
  <si>
    <t xml:space="preserve">/ai/jobs/generate-questions</t>
  </si>
  <si>
    <t xml:space="preserve">10/min</t>
  </si>
  <si>
    <t xml:space="preserve">Async; SSE progress</t>
  </si>
  <si>
    <t xml:space="preserve">/ai/jobs/summarize-chapter</t>
  </si>
  <si>
    <t xml:space="preserve">Async</t>
  </si>
  <si>
    <t xml:space="preserve">/ai/jobs/generate-flashcards</t>
  </si>
  <si>
    <t xml:space="preserve">/ai/jobs/{id}</t>
  </si>
  <si>
    <t xml:space="preserve">Status</t>
  </si>
  <si>
    <t xml:space="preserve">/ai/jobs/{id}/stream</t>
  </si>
  <si>
    <t xml:space="preserve">SSE: progress, question, done</t>
  </si>
  <si>
    <t xml:space="preserve">/ai/jobs/{id}/cancel</t>
  </si>
  <si>
    <t xml:space="preserve">Cancel</t>
  </si>
  <si>
    <t xml:space="preserve">GET/POST</t>
  </si>
  <si>
    <t xml:space="preserve">/ai/chats</t>
  </si>
  <si>
    <t xml:space="preserve">Threads</t>
  </si>
  <si>
    <t xml:space="preserve">/ai/chats/{id}/messages</t>
  </si>
  <si>
    <t xml:space="preserve">History</t>
  </si>
  <si>
    <t xml:space="preserve">RAG chat via SSE</t>
  </si>
  <si>
    <t xml:space="preserve">/ai/chats/{id}</t>
  </si>
  <si>
    <t xml:space="preserve">Delete</t>
  </si>
  <si>
    <t xml:space="preserve">/me/ai-credits</t>
  </si>
  <si>
    <t xml:space="preserve">Balance + daily usage</t>
  </si>
  <si>
    <t xml:space="preserve">/me/ai-credits/purchase</t>
  </si>
  <si>
    <t xml:space="preserve">Click/Payme checkout</t>
  </si>
  <si>
    <t xml:space="preserve">Exams</t>
  </si>
  <si>
    <t xml:space="preserve">/exams</t>
  </si>
  <si>
    <t xml:space="preserve">Filter subject/exam/diff</t>
  </si>
  <si>
    <t xml:space="preserve">/exams/{id}</t>
  </si>
  <si>
    <t xml:space="preserve">Detail (no Qs)</t>
  </si>
  <si>
    <t xml:space="preserve">teacher</t>
  </si>
  <si>
    <t xml:space="preserve">Create</t>
  </si>
  <si>
    <t xml:space="preserve">owner</t>
  </si>
  <si>
    <t xml:space="preserve">Edit</t>
  </si>
  <si>
    <t xml:space="preserve">/exams/{id}/start</t>
  </si>
  <si>
    <t xml:space="preserve">Begin attempt</t>
  </si>
  <si>
    <t xml:space="preserve">/attempts/{id}/answer</t>
  </si>
  <si>
    <t xml:space="preserve">Submit answer</t>
  </si>
  <si>
    <t xml:space="preserve">/attempts/{id}/submit</t>
  </si>
  <si>
    <t xml:space="preserve">Finalize</t>
  </si>
  <si>
    <t xml:space="preserve">/attempts/{id}</t>
  </si>
  <si>
    <t xml:space="preserve">Results + explanations</t>
  </si>
  <si>
    <t xml:space="preserve">/me/attempts</t>
  </si>
  <si>
    <t xml:space="preserve">Practice</t>
  </si>
  <si>
    <t xml:space="preserve">/practice/start</t>
  </si>
  <si>
    <t xml:space="preserve">Random by subject/topic</t>
  </si>
  <si>
    <t xml:space="preserve">/practice/daily-challenge</t>
  </si>
  <si>
    <t xml:space="preserve">Today's challenge</t>
  </si>
  <si>
    <t xml:space="preserve">Flashcards</t>
  </si>
  <si>
    <t xml:space="preserve">/me/flashcards/due</t>
  </si>
  <si>
    <t xml:space="preserve">Cards due now</t>
  </si>
  <si>
    <t xml:space="preserve">/me/flashcards/{id}/review</t>
  </si>
  <si>
    <t xml:space="preserve">SM-2 update</t>
  </si>
  <si>
    <t xml:space="preserve">/me/flashcards</t>
  </si>
  <si>
    <t xml:space="preserve">Create custom</t>
  </si>
  <si>
    <t xml:space="preserve">Analytics</t>
  </si>
  <si>
    <t xml:space="preserve">/me/stats/overview</t>
  </si>
  <si>
    <t xml:space="preserve">XP, streak, accuracy</t>
  </si>
  <si>
    <t xml:space="preserve">/me/stats/subjects</t>
  </si>
  <si>
    <t xml:space="preserve">Per-subject mastery</t>
  </si>
  <si>
    <t xml:space="preserve">/me/stats/weak-topics</t>
  </si>
  <si>
    <t xml:space="preserve">Sorted by mastery</t>
  </si>
  <si>
    <t xml:space="preserve">/me/stats/heatmap</t>
  </si>
  <si>
    <t xml:space="preserve">Daily heatmap</t>
  </si>
  <si>
    <t xml:space="preserve">/me/recommendations</t>
  </si>
  <si>
    <t xml:space="preserve">AI-suggested next 5</t>
  </si>
  <si>
    <t xml:space="preserve">Gamification</t>
  </si>
  <si>
    <t xml:space="preserve">/leaderboards</t>
  </si>
  <si>
    <t xml:space="preserve">Top 100 by scope</t>
  </si>
  <si>
    <t xml:space="preserve">/me/badges</t>
  </si>
  <si>
    <t xml:space="preserve">/badges</t>
  </si>
  <si>
    <t xml:space="preserve">Classrooms</t>
  </si>
  <si>
    <t xml:space="preserve">/classrooms</t>
  </si>
  <si>
    <t xml:space="preserve">List</t>
  </si>
  <si>
    <t xml:space="preserve">/classrooms/{id}</t>
  </si>
  <si>
    <t xml:space="preserve">member</t>
  </si>
  <si>
    <t xml:space="preserve">Detail + members</t>
  </si>
  <si>
    <t xml:space="preserve">/classrooms/{id}/join</t>
  </si>
  <si>
    <t xml:space="preserve">Join via code</t>
  </si>
  <si>
    <t xml:space="preserve">/classrooms/{id}/members/{u}</t>
  </si>
  <si>
    <t xml:space="preserve">Remove</t>
  </si>
  <si>
    <t xml:space="preserve">/classrooms/{id}/assignments</t>
  </si>
  <si>
    <t xml:space="preserve">Assignments</t>
  </si>
  <si>
    <t xml:space="preserve">/classrooms/{id}/analytics</t>
  </si>
  <si>
    <t xml:space="preserve">Aggregate scores</t>
  </si>
  <si>
    <t xml:space="preserve">/classrooms/{id}/export</t>
  </si>
  <si>
    <t xml:space="preserve">CSV/XLSX export</t>
  </si>
  <si>
    <t xml:space="preserve">Billing</t>
  </si>
  <si>
    <t xml:space="preserve">/billing/plans</t>
  </si>
  <si>
    <t xml:space="preserve">/me/subscription</t>
  </si>
  <si>
    <t xml:space="preserve">Active sub</t>
  </si>
  <si>
    <t xml:space="preserve">/billing/checkout</t>
  </si>
  <si>
    <t xml:space="preserve">Returns provider URL</t>
  </si>
  <si>
    <t xml:space="preserve">/billing/webhooks/click</t>
  </si>
  <si>
    <t xml:space="preserve">public+sig</t>
  </si>
  <si>
    <t xml:space="preserve">unlimited</t>
  </si>
  <si>
    <t xml:space="preserve">Click webhook</t>
  </si>
  <si>
    <t xml:space="preserve">/billing/webhooks/payme</t>
  </si>
  <si>
    <t xml:space="preserve">Payme webhook</t>
  </si>
  <si>
    <t xml:space="preserve">/billing/webhooks/stripe</t>
  </si>
  <si>
    <t xml:space="preserve">Stripe webhook</t>
  </si>
  <si>
    <t xml:space="preserve">/me/subscription/cancel</t>
  </si>
  <si>
    <t xml:space="preserve">Cancel at period end</t>
  </si>
  <si>
    <t xml:space="preserve">/me/invoices</t>
  </si>
  <si>
    <t xml:space="preserve">Past invoices</t>
  </si>
  <si>
    <t xml:space="preserve">Admin</t>
  </si>
  <si>
    <t xml:space="preserve">/admin/users</t>
  </si>
  <si>
    <t xml:space="preserve">Search w/ filters</t>
  </si>
  <si>
    <t xml:space="preserve">/admin/users/{id}</t>
  </si>
  <si>
    <t xml:space="preserve">Ban/role change</t>
  </si>
  <si>
    <t xml:space="preserve">/admin/books</t>
  </si>
  <si>
    <t xml:space="preserve">Moderation queue</t>
  </si>
  <si>
    <t xml:space="preserve">/admin/books/{id}/approve</t>
  </si>
  <si>
    <t xml:space="preserve">Approve</t>
  </si>
  <si>
    <t xml:space="preserve">/admin/books/{id}/reject</t>
  </si>
  <si>
    <t xml:space="preserve">Reject w/ reason</t>
  </si>
  <si>
    <t xml:space="preserve">/admin/reports</t>
  </si>
  <si>
    <t xml:space="preserve">Abuse reports</t>
  </si>
  <si>
    <t xml:space="preserve">/admin/reports/{id}/resolve</t>
  </si>
  <si>
    <t xml:space="preserve">Resolve</t>
  </si>
  <si>
    <t xml:space="preserve">/admin/metrics</t>
  </si>
  <si>
    <t xml:space="preserve">DAU, MAU, MRR, AI cost/day</t>
  </si>
  <si>
    <t xml:space="preserve">/admin/ai-cost</t>
  </si>
  <si>
    <t xml:space="preserve">Per-user cost breakdown</t>
  </si>
  <si>
    <t xml:space="preserve">/admin/ai-cost/cap</t>
  </si>
  <si>
    <t xml:space="preserve">Set per-user cap</t>
  </si>
  <si>
    <t xml:space="preserve">Notifications</t>
  </si>
  <si>
    <t xml:space="preserve">/me/notifications</t>
  </si>
  <si>
    <t xml:space="preserve">Inbox</t>
  </si>
  <si>
    <t xml:space="preserve">/me/notifications/{id}</t>
  </si>
  <si>
    <t xml:space="preserve">Mark read</t>
  </si>
  <si>
    <t xml:space="preserve">/me/notifications/read-all</t>
  </si>
  <si>
    <t xml:space="preserve">Mark all</t>
  </si>
  <si>
    <t xml:space="preserve">/me/push-token</t>
  </si>
  <si>
    <t xml:space="preserve">Register FCM</t>
  </si>
  <si>
    <t xml:space="preserve">System</t>
  </si>
  <si>
    <t xml:space="preserve">/health</t>
  </si>
  <si>
    <t xml:space="preserve">Liveness</t>
  </si>
  <si>
    <t xml:space="preserve">/ready</t>
  </si>
  <si>
    <t xml:space="preserve">Readiness</t>
  </si>
  <si>
    <t xml:space="preserve">/version</t>
  </si>
  <si>
    <t xml:space="preserve">Build metadata</t>
  </si>
  <si>
    <t xml:space="preserve">MVP Roadmap — Weeks 1 to 32</t>
  </si>
  <si>
    <t xml:space="preserve">Phase</t>
  </si>
  <si>
    <t xml:space="preserve">Weeks</t>
  </si>
  <si>
    <t xml:space="preserve">Theme</t>
  </si>
  <si>
    <t xml:space="preserve">Deliverables</t>
  </si>
  <si>
    <t xml:space="preserve">Exit criteria / milestone</t>
  </si>
  <si>
    <t xml:space="preserve">Phase 0</t>
  </si>
  <si>
    <t xml:space="preserve">1-2</t>
  </si>
  <si>
    <t xml:space="preserve">Foundation</t>
  </si>
  <si>
    <t xml:space="preserve">VPS provisioned; Supabase project; 4 repos + contracts repo; Ktor/Next/Flutter skeletons; CI/CD; Caddy+HTTPS; Sentry+UptimeRobot</t>
  </si>
  <si>
    <t xml:space="preserve">User can register &amp; log in on web + mobile; page loads &lt;1s</t>
  </si>
  <si>
    <t xml:space="preserve">Phase 1</t>
  </si>
  <si>
    <t xml:space="preserve">3-4</t>
  </si>
  <si>
    <t xml:space="preserve">Book pipeline</t>
  </si>
  <si>
    <t xml:space="preserve">Upload → R2; Tesseract OCR (uz/ru/en); chapter extractor; chunker+embedder→Qdrant; web reader (PDF.js); bookmarks/highlights; in-book search (Meilisearch)</t>
  </si>
  <si>
    <t xml:space="preserve">Upload a 500-page textbook → chapters auto-detected in &lt;5 min; search works</t>
  </si>
  <si>
    <t xml:space="preserve">5-7</t>
  </si>
  <si>
    <t xml:space="preserve">AI question generator</t>
  </si>
  <si>
    <t xml:space="preserve">generate-questions endpoint with SSE; gpt-4o-mini prompts in 3 languages; JSON-schema validation+dedup; question review UI; cost ledger + per-user budget</t>
  </si>
  <si>
    <t xml:space="preserve">20 MCQ + explanations from any chapter in &lt;30s for ~$0.005</t>
  </si>
  <si>
    <t xml:space="preserve">8-9</t>
  </si>
  <si>
    <t xml:space="preserve">Exam engine</t>
  </si>
  <si>
    <t xml:space="preserve">Practice mode; timed exam (server-authoritative); auto-grading + explanations; daily challenge cron; streaks + XP</t>
  </si>
  <si>
    <t xml:space="preserve">Student takes 30-min mock exam; sees 18/30 + per-question explanation</t>
  </si>
  <si>
    <t xml:space="preserve">10-11</t>
  </si>
  <si>
    <t xml:space="preserve">Topic mastery (Elo-like); weak-topic dashboard; recommendations; subject progress charts</t>
  </si>
  <si>
    <t xml:space="preserve">Dashboard shows top-3 weak topics + next 5 actions</t>
  </si>
  <si>
    <t xml:space="preserve">12-14</t>
  </si>
  <si>
    <t xml:space="preserve">Mobile (Flutter)</t>
  </si>
  <si>
    <t xml:space="preserve">Auth, library, reader (flutter_pdfview), practice, exam (online); FCM push; payment deep links (stub)</t>
  </si>
  <si>
    <t xml:space="preserve">Android in Play Store; 50 curated books seeded; founder daily user</t>
  </si>
  <si>
    <t xml:space="preserve">Phase 2</t>
  </si>
  <si>
    <t xml:space="preserve">15-18</t>
  </si>
  <si>
    <t xml:space="preserve">Payments (UZ)</t>
  </si>
  <si>
    <t xml:space="preserve">Click full flow + webhooks; Payme; Atmos; Stripe (intl); subscription state machine + grace period</t>
  </si>
  <si>
    <t xml:space="preserve">First paying user via Click; webhook idempotency tested</t>
  </si>
  <si>
    <t xml:space="preserve">19-22</t>
  </si>
  <si>
    <t xml:space="preserve">Teacher panel</t>
  </si>
  <si>
    <t xml:space="preserve">Classrooms + join codes; assignments; classroom analytics; CSV/XLSX export</t>
  </si>
  <si>
    <t xml:space="preserve">5 teachers from one Tashkent school running classrooms</t>
  </si>
  <si>
    <t xml:space="preserve">23-26</t>
  </si>
  <si>
    <t xml:space="preserve">AI study assistant</t>
  </si>
  <si>
    <t xml:space="preserve">Chat UI; SSE streaming; RAG scoped to user library + curated; mandatory citations; voice input (Whisper); TTS for premium</t>
  </si>
  <si>
    <t xml:space="preserve">Student asks question in Uzbek → answer cites book page in &lt;3s</t>
  </si>
  <si>
    <t xml:space="preserve">27-28</t>
  </si>
  <si>
    <t xml:space="preserve">iOS launch</t>
  </si>
  <si>
    <t xml:space="preserve">Apple Sign-In; TestFlight beta; App Store submission</t>
  </si>
  <si>
    <t xml:space="preserve">iOS app live in App Store</t>
  </si>
  <si>
    <t xml:space="preserve">29-30</t>
  </si>
  <si>
    <t xml:space="preserve">Flashcards + SRS</t>
  </si>
  <si>
    <t xml:space="preserve">SM-2 algorithm; auto-gen from chapters; daily review widget</t>
  </si>
  <si>
    <t xml:space="preserve">Daily flashcard widget in production</t>
  </si>
  <si>
    <t xml:space="preserve">31-32</t>
  </si>
  <si>
    <t xml:space="preserve">Gamification polish</t>
  </si>
  <si>
    <t xml:space="preserve">50+ badges; region/grade/classroom leaderboards; streak freezes (premium)</t>
  </si>
  <si>
    <t xml:space="preserve">10k registered, 200 paying, $3k MRR</t>
  </si>
  <si>
    <t xml:space="preserve">Monthly Cost Model — Phase 1 to Year-1 Steady State</t>
  </si>
  <si>
    <t xml:space="preserve">Category</t>
  </si>
  <si>
    <t xml:space="preserve">Item</t>
  </si>
  <si>
    <t xml:space="preserve">Phase 1 (USD)</t>
  </si>
  <si>
    <t xml:space="preserve">Year-1 steady state (USD)</t>
  </si>
  <si>
    <t xml:space="preserve">Infra</t>
  </si>
  <si>
    <t xml:space="preserve">Hetzner CX32 VPS (Phase 1) / AX42 dedicated (Yr-1)</t>
  </si>
  <si>
    <t xml:space="preserve">Supabase (managed Postgres + Auth)</t>
  </si>
  <si>
    <t xml:space="preserve">Upstash Redis</t>
  </si>
  <si>
    <t xml:space="preserve">Cloudflare R2 (storage)</t>
  </si>
  <si>
    <t xml:space="preserve">Cloudflare Pages / Images / Stream</t>
  </si>
  <si>
    <t xml:space="preserve">Meilisearch hosted (Yr-1)</t>
  </si>
  <si>
    <t xml:space="preserve">Qdrant (self-hosted in Docker)</t>
  </si>
  <si>
    <t xml:space="preserve">OpenAI API (chat + generation + embeddings)</t>
  </si>
  <si>
    <t xml:space="preserve">Google Vision OCR (fallback)</t>
  </si>
  <si>
    <t xml:space="preserve">Comms</t>
  </si>
  <si>
    <t xml:space="preserve">Eskiz.uz SMS (~1k → ~10k OTPs)</t>
  </si>
  <si>
    <t xml:space="preserve">Postmark email</t>
  </si>
  <si>
    <t xml:space="preserve">Observability</t>
  </si>
  <si>
    <t xml:space="preserve">Sentry / Grafana / Loki (paid tier Yr-1)</t>
  </si>
  <si>
    <t xml:space="preserve">Payments</t>
  </si>
  <si>
    <t xml:space="preserve">Gateway fees (~2.5% of MRR)</t>
  </si>
  <si>
    <t xml:space="preserve">Marketing</t>
  </si>
  <si>
    <t xml:space="preserve">Telegram ads + influencer + paid acquisition</t>
  </si>
  <si>
    <t xml:space="preserve">People</t>
  </si>
  <si>
    <t xml:space="preserve">Founder salary (modest)</t>
  </si>
  <si>
    <t xml:space="preserve">Content lead (Yr-1 hire)</t>
  </si>
  <si>
    <t xml:space="preserve">Design (project-based)</t>
  </si>
  <si>
    <t xml:space="preserve">Other</t>
  </si>
  <si>
    <t xml:space="preserve">Domain + email + LLC</t>
  </si>
  <si>
    <t xml:space="preserve">TOTAL</t>
  </si>
  <si>
    <t xml:space="preserve">Annualized Phase 1</t>
  </si>
  <si>
    <t xml:space="preserve">Annualized Year 1 steady</t>
  </si>
  <si>
    <t xml:space="preserve">Revenue Projection — Month 1 to Month 12</t>
  </si>
  <si>
    <t xml:space="preserve">Assumptions (BLUE = inputs)</t>
  </si>
  <si>
    <t xml:space="preserve">Starting MAU (Month 1)</t>
  </si>
  <si>
    <t xml:space="preserve">Monthly growth rate</t>
  </si>
  <si>
    <t xml:space="preserve">Free → Premium conversion %</t>
  </si>
  <si>
    <t xml:space="preserve">Premium monthly UZS price</t>
  </si>
  <si>
    <t xml:space="preserve">Premium yearly UZS price</t>
  </si>
  <si>
    <t xml:space="preserve">Premium yearly cohort share</t>
  </si>
  <si>
    <t xml:space="preserve">Tutor Pro subscribers (Month 12)</t>
  </si>
  <si>
    <t xml:space="preserve">Tutor Pro UZS price</t>
  </si>
  <si>
    <t xml:space="preserve">Centers (Month 12)</t>
  </si>
  <si>
    <t xml:space="preserve">Avg students per center</t>
  </si>
  <si>
    <t xml:space="preserve">Center base UZS price</t>
  </si>
  <si>
    <t xml:space="preserve">Center per-student UZS price</t>
  </si>
  <si>
    <t xml:space="preserve">AI credit top-up takers (% of MAU)</t>
  </si>
  <si>
    <t xml:space="preserve">Avg AI credit spend per user (UZS)</t>
  </si>
  <si>
    <t xml:space="preserve">Mock exam buyers / month (Month 12)</t>
  </si>
  <si>
    <t xml:space="preserve">Mock exam price (UZS)</t>
  </si>
  <si>
    <t xml:space="preserve">Free user ad RPM (USD)</t>
  </si>
  <si>
    <t xml:space="preserve">Sessions per free user per month</t>
  </si>
  <si>
    <t xml:space="preserve">USD/UZS rate</t>
  </si>
  <si>
    <t xml:space="preserve">Monthly Projection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</si>
  <si>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</si>
  <si>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</si>
  <si>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</si>
  <si>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</si>
  <si>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</si>
  <si>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</si>
  <si>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</si>
  <si>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</si>
  <si>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</si>
  <si>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</si>
  <si>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</si>
  <si>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</si>
  <si>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</si>
  <si>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MAU</t>
  </si>
  <si>
    <t xml:space="preserve">Total Premium subs</t>
  </si>
  <si>
    <t xml:space="preserve">  of which monthly</t>
  </si>
  <si>
    <t xml:space="preserve">  of which yearly</t>
  </si>
  <si>
    <t xml:space="preserve">Revenue (USD)</t>
  </si>
  <si>
    <t xml:space="preserve">Premium monthly</t>
  </si>
  <si>
    <t xml:space="preserve">Premium yearly (amortised)</t>
  </si>
  <si>
    <t xml:space="preserve">Tutor Pro (linear ramp)</t>
  </si>
  <si>
    <t xml:space="preserve">Centers (linear ramp)</t>
  </si>
  <si>
    <t xml:space="preserve">AI credit top-ups</t>
  </si>
  <si>
    <t xml:space="preserve">Mock exams (ramp)</t>
  </si>
  <si>
    <t xml:space="preserve">Ads (free tier)</t>
  </si>
  <si>
    <t xml:space="preserve">Total MRR (USD)</t>
  </si>
  <si>
    <t xml:space="preserve">AI Cost Calculator — Per User Per Day</t>
  </si>
  <si>
    <t xml:space="preserve">Inputs (BLUE)</t>
  </si>
  <si>
    <t xml:space="preserve">gpt-4o-mini input $/M tokens</t>
  </si>
  <si>
    <t xml:space="preserve">gpt-4o-mini output $/M tokens</t>
  </si>
  <si>
    <t xml:space="preserve">text-embedding-3-small $/M tokens</t>
  </si>
  <si>
    <t xml:space="preserve">Avg chat messages / day (premium)</t>
  </si>
  <si>
    <t xml:space="preserve">Avg tokens per chat message in</t>
  </si>
  <si>
    <t xml:space="preserve">Avg tokens per chat message out</t>
  </si>
  <si>
    <t xml:space="preserve">Avg questions generated / day (premium)</t>
  </si>
  <si>
    <t xml:space="preserve">Avg tokens per generation in</t>
  </si>
  <si>
    <t xml:space="preserve">Avg tokens per generation out</t>
  </si>
  <si>
    <t xml:space="preserve">Avg embedding tokens / new book (per user share)</t>
  </si>
  <si>
    <t xml:space="preserve">Books per user per month</t>
  </si>
  <si>
    <t xml:space="preserve">Cost calculation</t>
  </si>
  <si>
    <t xml:space="preserve">Chat input cost / day</t>
  </si>
  <si>
    <t xml:space="preserve">Chat output cost / day</t>
  </si>
  <si>
    <t xml:space="preserve">Generation input cost / day</t>
  </si>
  <si>
    <t xml:space="preserve">Generation output cost / day</t>
  </si>
  <si>
    <t xml:space="preserve">Embedding cost / day (amortised)</t>
  </si>
  <si>
    <t xml:space="preserve">TOTAL cost / premium user / day</t>
  </si>
  <si>
    <t xml:space="preserve">TOTAL / premium user / month</t>
  </si>
  <si>
    <t xml:space="preserve">Premium price (USD)</t>
  </si>
  <si>
    <t xml:space="preserve">AI gross margin per user</t>
  </si>
  <si>
    <t xml:space="preserve">#</t>
  </si>
  <si>
    <t xml:space="preserve">Risk</t>
  </si>
  <si>
    <t xml:space="preserve">Likelihood (1-5)</t>
  </si>
  <si>
    <t xml:space="preserve">Impact (1-5)</t>
  </si>
  <si>
    <t xml:space="preserve">Mitigation</t>
  </si>
  <si>
    <t xml:space="preserve">Score</t>
  </si>
  <si>
    <t xml:space="preserve">AI costs spiral</t>
  </si>
  <si>
    <t xml:space="preserve">Tech</t>
  </si>
  <si>
    <t xml:space="preserve">Per-user daily cap, prompt caching, embeddings cache, gpt-4o-mini default, cost ledger + alerts</t>
  </si>
  <si>
    <t xml:space="preserve">Copyright complaints on uploaded books</t>
  </si>
  <si>
    <t xml:space="preserve">Legal</t>
  </si>
  <si>
    <t xml:space="preserve">Curate from public-domain + Ministry curriculum; teacher attestation; DMCA-style takedown process</t>
  </si>
  <si>
    <t xml:space="preserve">Click/Payme integration delays</t>
  </si>
  <si>
    <t xml:space="preserve">Ops</t>
  </si>
  <si>
    <t xml:space="preserve">Start integration in W8; manual bank transfer + admin grant as fallback</t>
  </si>
  <si>
    <t xml:space="preserve">iOS App Store rejection</t>
  </si>
  <si>
    <t xml:space="preserve">Submit early, clear content policy; ed-tech well-received</t>
  </si>
  <si>
    <t xml:space="preserve">Scanned-book OCR misses context</t>
  </si>
  <si>
    <t xml:space="preserve">OCR confidence threshold; admin re-process button; multi-language Tesseract training</t>
  </si>
  <si>
    <t xml:space="preserve">Low user retention</t>
  </si>
  <si>
    <t xml:space="preserve">Product</t>
  </si>
  <si>
    <t xml:space="preserve">Streaks, daily challenge, push reminders, low premium price (29k UZS)</t>
  </si>
  <si>
    <t xml:space="preserve">Founder burnout (solo)</t>
  </si>
  <si>
    <t xml:space="preserve">30h/week ceiling; design + content outsourced; hire content lead at month 4</t>
  </si>
  <si>
    <t xml:space="preserve">Telegram channel ban (key acq channel)</t>
  </si>
  <si>
    <t xml:space="preserve">Diversify channels; build email + push as owned audience</t>
  </si>
  <si>
    <t xml:space="preserve">Supabase/Hetzner outage</t>
  </si>
  <si>
    <t xml:space="preserve">Daily pg_dump to R2; documented restore runbook; UptimeRobot alerts</t>
  </si>
  <si>
    <t xml:space="preserve">AI hallucinations in answers</t>
  </si>
  <si>
    <t xml:space="preserve">Mandatory citations; flag/feedback button; quality_score on questions; human review queue</t>
  </si>
  <si>
    <t xml:space="preserve">Cheating in exams</t>
  </si>
  <si>
    <t xml:space="preserve">Server-authoritative timing, randomization, device fingerprint, tab-blur flags</t>
  </si>
  <si>
    <t xml:space="preserve">Regulatory: edtech licensing in UZ</t>
  </si>
  <si>
    <t xml:space="preserve">Engage local counsel; register as IT-Park resident (tax + legal benefits)</t>
  </si>
  <si>
    <t xml:space="preserve">Currency devaluation (UZS)</t>
  </si>
  <si>
    <t xml:space="preserve">Finance</t>
  </si>
  <si>
    <t xml:space="preserve">Price in UZS but pay USD costs; raise prices annually with inflation</t>
  </si>
  <si>
    <t xml:space="preserve">Talent acquisition (Kotlin/Flutter in UZ)</t>
  </si>
  <si>
    <t xml:space="preserve">Hire remote from Tashkent IT-Park; partner with TUIT for interns</t>
  </si>
  <si>
    <t xml:space="preserve">Competitor with deeper pockets enters</t>
  </si>
  <si>
    <t xml:space="preserve">Market</t>
  </si>
  <si>
    <t xml:space="preserve">Move fast, lock in school+center distribution, build moat via DTM question bank</t>
  </si>
  <si>
    <t xml:space="preserve">North-Star KPIs</t>
  </si>
  <si>
    <t xml:space="preserve">Definition</t>
  </si>
  <si>
    <t xml:space="preserve">MVP target (W14)</t>
  </si>
  <si>
    <t xml:space="preserve">Year-1 target (M12)</t>
  </si>
  <si>
    <t xml:space="preserve">WAU</t>
  </si>
  <si>
    <t xml:space="preserve">Weekly active users</t>
  </si>
  <si>
    <t xml:space="preserve">50,000</t>
  </si>
  <si>
    <t xml:space="preserve">DAU/MAU</t>
  </si>
  <si>
    <t xml:space="preserve">Stickiness</t>
  </si>
  <si>
    <t xml:space="preserve">20%</t>
  </si>
  <si>
    <t xml:space="preserve">35%</t>
  </si>
  <si>
    <t xml:space="preserve">Questions answered / user / week</t>
  </si>
  <si>
    <t xml:space="preserve">Engagement</t>
  </si>
  <si>
    <t xml:space="preserve">120</t>
  </si>
  <si>
    <t xml:space="preserve">Books opened / user / month</t>
  </si>
  <si>
    <t xml:space="preserve">AI chat messages / user / week</t>
  </si>
  <si>
    <t xml:space="preserve">AI engagement</t>
  </si>
  <si>
    <t xml:space="preserve">30</t>
  </si>
  <si>
    <t xml:space="preserve">Conversion free → Premium</t>
  </si>
  <si>
    <t xml:space="preserve">Monetization</t>
  </si>
  <si>
    <t xml:space="preserve">1.5%</t>
  </si>
  <si>
    <t xml:space="preserve">4%</t>
  </si>
  <si>
    <t xml:space="preserve">Churn (monthly)</t>
  </si>
  <si>
    <t xml:space="preserve">Retention</t>
  </si>
  <si>
    <t xml:space="preserve">&lt;7%</t>
  </si>
  <si>
    <t xml:space="preserve">MRR (USD)</t>
  </si>
  <si>
    <t xml:space="preserve">Monthly recurring revenue</t>
  </si>
  <si>
    <t xml:space="preserve">$15,000</t>
  </si>
  <si>
    <t xml:space="preserve">ARPU (paying)</t>
  </si>
  <si>
    <t xml:space="preserve">Average revenue per paying user</t>
  </si>
  <si>
    <t xml:space="preserve">$3.50</t>
  </si>
  <si>
    <t xml:space="preserve">AI cost / paying user / month</t>
  </si>
  <si>
    <t xml:space="preserve">Margin sanity</t>
  </si>
  <si>
    <t xml:space="preserve">&lt;$2.00</t>
  </si>
  <si>
    <t xml:space="preserve">&lt;$1.50</t>
  </si>
  <si>
    <t xml:space="preserve">Gross margin</t>
  </si>
  <si>
    <t xml:space="preserve">(MRR − COGS) / MRR</t>
  </si>
  <si>
    <t xml:space="preserve">&gt;45%</t>
  </si>
  <si>
    <t xml:space="preserve">Crash-free sessions (mobile)</t>
  </si>
  <si>
    <t xml:space="preserve">Quality</t>
  </si>
  <si>
    <t xml:space="preserve">&gt;99%</t>
  </si>
  <si>
    <t xml:space="preserve">&gt;99.5%</t>
  </si>
  <si>
    <t xml:space="preserve">API p95 latency (non-AI)</t>
  </si>
  <si>
    <t xml:space="preserve">&lt;500ms</t>
  </si>
  <si>
    <t xml:space="preserve">&lt;400ms</t>
  </si>
  <si>
    <t xml:space="preserve">Uptime (rolling 30d)</t>
  </si>
  <si>
    <t xml:space="preserve">99.5%</t>
  </si>
  <si>
    <t xml:space="preserve">99.9%</t>
  </si>
  <si>
    <t xml:space="preserve">Net Promoter Score (NPS)</t>
  </si>
  <si>
    <t xml:space="preserve">Sentiment</t>
  </si>
  <si>
    <t xml:space="preserve">Books indexed and AI-ready</t>
  </si>
  <si>
    <t xml:space="preserve">Content depth</t>
  </si>
  <si>
    <t xml:space="preserve">5,000</t>
  </si>
  <si>
    <t xml:space="preserve">Teacher accounts</t>
  </si>
  <si>
    <t xml:space="preserve">B2B / community</t>
  </si>
  <si>
    <t xml:space="preserve">1,000</t>
  </si>
  <si>
    <t xml:space="preserve">Learning centers</t>
  </si>
  <si>
    <t xml:space="preserve">B2B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</si>
</sst>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[RED]&quot;($&quot;#,##0\);\-"/>
    <numFmt numFmtId="166" formatCode="\$#,##0"/>
    <numFmt numFmtId="167" formatCode="0.0%"/>
    <numFmt numFmtId="168" formatCode="#,##0"/>
    <numFmt numFmtId="169" formatCode="0.00"/>
    <numFmt numFmtId="170" formatCode="\$0.0000"/>
    <numFmt numFmtId="171" formatCode="\$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6FFE6"/>
      </patternFill>
    </fill>
    <fill>
      <patternFill patternType="solid">
        <fgColor rgb="FFFFE4B5"/>
        <bgColor rgb="FFFFFF99"/>
      </patternFill>
    </fill>
    <fill>
      <patternFill patternType="solid">
        <fgColor rgb="FFD5E8F0"/>
        <bgColor rgb="FFF2F2F2"/>
      </patternFill>
    </fill>
    <fill>
      <patternFill patternType="solid">
        <fgColor rgb="FFE6FF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6FFE6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7.35" hidden="false" customHeight="false" outlineLevel="0" collapsed="false">
      <c r="A8" s="4" t="s">
        <v>9</v>
      </c>
    </row>
    <row r="9" customFormat="false" ht="15" hidden="false" customHeight="false" outlineLevel="0" collapsed="false">
      <c r="A9" s="5" t="s">
        <v>10</v>
      </c>
      <c r="B9" s="5" t="s">
        <v>11</v>
      </c>
    </row>
    <row r="10" customFormat="false" ht="15" hidden="false" customHeight="false" outlineLevel="0" collapsed="false">
      <c r="A10" s="6" t="s">
        <v>12</v>
      </c>
      <c r="B10" s="6" t="s">
        <v>13</v>
      </c>
    </row>
    <row r="11" customFormat="false" ht="15" hidden="false" customHeight="false" outlineLevel="0" collapsed="false">
      <c r="A11" s="7" t="s">
        <v>14</v>
      </c>
      <c r="B11" s="7" t="s">
        <v>15</v>
      </c>
    </row>
    <row r="12" customFormat="false" ht="15" hidden="false" customHeight="false" outlineLevel="0" collapsed="false">
      <c r="A12" s="6" t="s">
        <v>16</v>
      </c>
      <c r="B12" s="6" t="s">
        <v>17</v>
      </c>
    </row>
    <row r="13" customFormat="false" ht="15" hidden="false" customHeight="false" outlineLevel="0" collapsed="false">
      <c r="A13" s="7" t="s">
        <v>18</v>
      </c>
      <c r="B13" s="7" t="s">
        <v>19</v>
      </c>
    </row>
    <row r="14" customFormat="false" ht="15" hidden="false" customHeight="false" outlineLevel="0" collapsed="false">
      <c r="A14" s="6" t="s">
        <v>20</v>
      </c>
      <c r="B14" s="6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</row>
    <row r="16" customFormat="false" ht="15" hidden="false" customHeight="false" outlineLevel="0" collapsed="false">
      <c r="A16" s="6" t="s">
        <v>24</v>
      </c>
      <c r="B16" s="6" t="s">
        <v>25</v>
      </c>
    </row>
    <row r="17" customFormat="false" ht="15" hidden="false" customHeight="false" outlineLevel="0" collapsed="false">
      <c r="A17" s="7" t="s">
        <v>26</v>
      </c>
      <c r="B17" s="7" t="s">
        <v>27</v>
      </c>
    </row>
    <row r="18" customFormat="false" ht="15" hidden="false" customHeight="false" outlineLevel="0" collapsed="false">
      <c r="A18" s="6" t="s">
        <v>28</v>
      </c>
      <c r="B18" s="6" t="s">
        <v>29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1" t="s">
        <v>30</v>
      </c>
      <c r="B1" s="1"/>
      <c r="C1" s="1"/>
      <c r="D1" s="1"/>
      <c r="E1" s="1"/>
    </row>
    <row r="3" customFormat="false" ht="15" hidden="false" customHeight="false" outlineLevel="0" collapsed="false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</row>
    <row r="4" customFormat="false" ht="15" hidden="false" customHeight="false" outlineLevel="0" collapsed="false">
      <c r="A4" s="8" t="s">
        <v>36</v>
      </c>
      <c r="B4" s="6" t="s">
        <v>37</v>
      </c>
      <c r="C4" s="6" t="s">
        <v>38</v>
      </c>
      <c r="D4" s="6" t="s">
        <v>39</v>
      </c>
      <c r="E4" s="6" t="s">
        <v>40</v>
      </c>
    </row>
    <row r="5" customFormat="false" ht="15" hidden="false" customHeight="false" outlineLevel="0" collapsed="false">
      <c r="A5" s="9" t="s">
        <v>41</v>
      </c>
      <c r="B5" s="7" t="s">
        <v>37</v>
      </c>
      <c r="C5" s="7" t="s">
        <v>42</v>
      </c>
      <c r="D5" s="7" t="s">
        <v>43</v>
      </c>
      <c r="E5" s="7" t="s">
        <v>44</v>
      </c>
    </row>
    <row r="6" customFormat="false" ht="15" hidden="false" customHeight="false" outlineLevel="0" collapsed="false">
      <c r="A6" s="8" t="s">
        <v>45</v>
      </c>
      <c r="B6" s="6" t="s">
        <v>46</v>
      </c>
      <c r="C6" s="6" t="s">
        <v>46</v>
      </c>
      <c r="D6" s="6" t="s">
        <v>46</v>
      </c>
      <c r="E6" s="6" t="s">
        <v>46</v>
      </c>
    </row>
    <row r="7" customFormat="false" ht="15" hidden="false" customHeight="false" outlineLevel="0" collapsed="false">
      <c r="A7" s="9" t="s">
        <v>47</v>
      </c>
      <c r="B7" s="7" t="s">
        <v>48</v>
      </c>
      <c r="C7" s="7" t="s">
        <v>49</v>
      </c>
      <c r="D7" s="7" t="s">
        <v>49</v>
      </c>
      <c r="E7" s="7" t="s">
        <v>49</v>
      </c>
    </row>
    <row r="8" customFormat="false" ht="15" hidden="false" customHeight="false" outlineLevel="0" collapsed="false">
      <c r="A8" s="8" t="s">
        <v>50</v>
      </c>
      <c r="B8" s="6" t="s">
        <v>51</v>
      </c>
      <c r="C8" s="6" t="s">
        <v>49</v>
      </c>
      <c r="D8" s="6" t="s">
        <v>49</v>
      </c>
      <c r="E8" s="6" t="s">
        <v>49</v>
      </c>
    </row>
    <row r="9" customFormat="false" ht="15" hidden="false" customHeight="false" outlineLevel="0" collapsed="false">
      <c r="A9" s="9" t="s">
        <v>52</v>
      </c>
      <c r="B9" s="7" t="s">
        <v>53</v>
      </c>
      <c r="C9" s="7" t="s">
        <v>54</v>
      </c>
      <c r="D9" s="7" t="s">
        <v>55</v>
      </c>
      <c r="E9" s="7" t="s">
        <v>56</v>
      </c>
    </row>
    <row r="10" customFormat="false" ht="15" hidden="false" customHeight="false" outlineLevel="0" collapsed="false">
      <c r="A10" s="8" t="s">
        <v>57</v>
      </c>
      <c r="B10" s="6" t="s">
        <v>58</v>
      </c>
      <c r="C10" s="6" t="s">
        <v>54</v>
      </c>
      <c r="D10" s="6" t="s">
        <v>59</v>
      </c>
      <c r="E10" s="6" t="s">
        <v>60</v>
      </c>
    </row>
    <row r="11" customFormat="false" ht="15" hidden="false" customHeight="false" outlineLevel="0" collapsed="false">
      <c r="A11" s="9" t="s">
        <v>61</v>
      </c>
      <c r="B11" s="7" t="s">
        <v>62</v>
      </c>
      <c r="C11" s="7" t="s">
        <v>63</v>
      </c>
      <c r="D11" s="7" t="s">
        <v>64</v>
      </c>
      <c r="E11" s="7" t="s">
        <v>65</v>
      </c>
    </row>
    <row r="12" customFormat="false" ht="15" hidden="false" customHeight="false" outlineLevel="0" collapsed="false">
      <c r="A12" s="8" t="s">
        <v>66</v>
      </c>
      <c r="B12" s="6" t="s">
        <v>53</v>
      </c>
      <c r="C12" s="6" t="s">
        <v>46</v>
      </c>
      <c r="D12" s="6" t="s">
        <v>46</v>
      </c>
      <c r="E12" s="6" t="s">
        <v>46</v>
      </c>
    </row>
    <row r="13" customFormat="false" ht="15" hidden="false" customHeight="false" outlineLevel="0" collapsed="false">
      <c r="A13" s="9" t="s">
        <v>67</v>
      </c>
      <c r="B13" s="7" t="s">
        <v>68</v>
      </c>
      <c r="C13" s="7" t="s">
        <v>58</v>
      </c>
      <c r="D13" s="7" t="s">
        <v>49</v>
      </c>
      <c r="E13" s="7" t="s">
        <v>49</v>
      </c>
    </row>
    <row r="14" customFormat="false" ht="15" hidden="false" customHeight="false" outlineLevel="0" collapsed="false">
      <c r="A14" s="8" t="s">
        <v>69</v>
      </c>
      <c r="B14" s="6" t="s">
        <v>70</v>
      </c>
      <c r="C14" s="6" t="s">
        <v>71</v>
      </c>
      <c r="D14" s="6" t="s">
        <v>71</v>
      </c>
      <c r="E14" s="6" t="s">
        <v>71</v>
      </c>
    </row>
    <row r="15" customFormat="false" ht="15" hidden="false" customHeight="false" outlineLevel="0" collapsed="false">
      <c r="A15" s="9" t="s">
        <v>72</v>
      </c>
      <c r="B15" s="7" t="s">
        <v>68</v>
      </c>
      <c r="C15" s="7" t="s">
        <v>73</v>
      </c>
      <c r="D15" s="7" t="s">
        <v>58</v>
      </c>
      <c r="E15" s="7" t="s">
        <v>74</v>
      </c>
    </row>
    <row r="16" customFormat="false" ht="15" hidden="false" customHeight="false" outlineLevel="0" collapsed="false">
      <c r="A16" s="8" t="s">
        <v>75</v>
      </c>
      <c r="B16" s="6" t="s">
        <v>53</v>
      </c>
      <c r="C16" s="6" t="s">
        <v>46</v>
      </c>
      <c r="D16" s="6" t="s">
        <v>46</v>
      </c>
      <c r="E16" s="6" t="s">
        <v>46</v>
      </c>
    </row>
    <row r="17" customFormat="false" ht="15" hidden="false" customHeight="false" outlineLevel="0" collapsed="false">
      <c r="A17" s="9" t="s">
        <v>76</v>
      </c>
      <c r="B17" s="7" t="s">
        <v>53</v>
      </c>
      <c r="C17" s="7" t="s">
        <v>77</v>
      </c>
      <c r="D17" s="7" t="s">
        <v>78</v>
      </c>
      <c r="E17" s="7" t="s">
        <v>49</v>
      </c>
    </row>
    <row r="18" customFormat="false" ht="15" hidden="false" customHeight="false" outlineLevel="0" collapsed="false">
      <c r="A18" s="8" t="s">
        <v>79</v>
      </c>
      <c r="B18" s="6" t="s">
        <v>53</v>
      </c>
      <c r="C18" s="6" t="s">
        <v>53</v>
      </c>
      <c r="D18" s="6" t="s">
        <v>80</v>
      </c>
      <c r="E18" s="6" t="s">
        <v>49</v>
      </c>
    </row>
    <row r="19" customFormat="false" ht="15" hidden="false" customHeight="false" outlineLevel="0" collapsed="false">
      <c r="A19" s="9" t="s">
        <v>81</v>
      </c>
      <c r="B19" s="7" t="s">
        <v>53</v>
      </c>
      <c r="C19" s="7" t="s">
        <v>53</v>
      </c>
      <c r="D19" s="7" t="s">
        <v>53</v>
      </c>
      <c r="E19" s="7" t="s">
        <v>46</v>
      </c>
    </row>
    <row r="20" customFormat="false" ht="15" hidden="false" customHeight="false" outlineLevel="0" collapsed="false">
      <c r="A20" s="8" t="s">
        <v>82</v>
      </c>
      <c r="B20" s="6" t="s">
        <v>53</v>
      </c>
      <c r="C20" s="6" t="s">
        <v>53</v>
      </c>
      <c r="D20" s="6" t="s">
        <v>53</v>
      </c>
      <c r="E20" s="6" t="s">
        <v>46</v>
      </c>
    </row>
    <row r="21" customFormat="false" ht="15" hidden="false" customHeight="false" outlineLevel="0" collapsed="false">
      <c r="A21" s="9" t="s">
        <v>83</v>
      </c>
      <c r="B21" s="7" t="s">
        <v>46</v>
      </c>
      <c r="C21" s="7" t="s">
        <v>46</v>
      </c>
      <c r="D21" s="7" t="s">
        <v>46</v>
      </c>
      <c r="E21" s="7" t="s">
        <v>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5" t="s">
        <v>85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</row>
    <row r="4" customFormat="false" ht="23.85" hidden="false" customHeight="false" outlineLevel="0" collapsed="false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n">
        <v>250000</v>
      </c>
      <c r="H4" s="6" t="s">
        <v>99</v>
      </c>
    </row>
    <row r="5" customFormat="false" ht="15" hidden="false" customHeight="false" outlineLevel="0" collapsed="false">
      <c r="A5" s="7" t="s">
        <v>93</v>
      </c>
      <c r="B5" s="7" t="s">
        <v>100</v>
      </c>
      <c r="C5" s="7" t="s">
        <v>101</v>
      </c>
      <c r="D5" s="7" t="s">
        <v>102</v>
      </c>
      <c r="E5" s="7" t="s">
        <v>103</v>
      </c>
      <c r="F5" s="7" t="s">
        <v>104</v>
      </c>
      <c r="G5" s="7" t="n">
        <v>80000</v>
      </c>
      <c r="H5" s="7" t="s">
        <v>105</v>
      </c>
    </row>
    <row r="6" customFormat="false" ht="15" hidden="false" customHeight="false" outlineLevel="0" collapsed="false">
      <c r="A6" s="6" t="s">
        <v>93</v>
      </c>
      <c r="B6" s="6" t="s">
        <v>106</v>
      </c>
      <c r="C6" s="6" t="s">
        <v>107</v>
      </c>
      <c r="D6" s="6" t="s">
        <v>108</v>
      </c>
      <c r="E6" s="6" t="s">
        <v>109</v>
      </c>
      <c r="F6" s="6" t="s">
        <v>104</v>
      </c>
      <c r="G6" s="6" t="n">
        <v>400000</v>
      </c>
      <c r="H6" s="6" t="s">
        <v>110</v>
      </c>
    </row>
    <row r="7" customFormat="false" ht="15" hidden="false" customHeight="false" outlineLevel="0" collapsed="false">
      <c r="A7" s="7" t="s">
        <v>93</v>
      </c>
      <c r="B7" s="7" t="s">
        <v>111</v>
      </c>
      <c r="C7" s="7" t="s">
        <v>112</v>
      </c>
      <c r="D7" s="7" t="s">
        <v>113</v>
      </c>
      <c r="E7" s="7" t="s">
        <v>114</v>
      </c>
      <c r="F7" s="7" t="s">
        <v>115</v>
      </c>
      <c r="G7" s="7" t="n">
        <v>600000</v>
      </c>
      <c r="H7" s="7" t="s">
        <v>116</v>
      </c>
    </row>
    <row r="8" customFormat="false" ht="15" hidden="false" customHeight="false" outlineLevel="0" collapsed="false">
      <c r="A8" s="6" t="s">
        <v>117</v>
      </c>
      <c r="B8" s="6" t="s">
        <v>118</v>
      </c>
      <c r="C8" s="6" t="s">
        <v>119</v>
      </c>
      <c r="D8" s="6" t="s">
        <v>120</v>
      </c>
      <c r="E8" s="6" t="s">
        <v>53</v>
      </c>
      <c r="F8" s="6" t="s">
        <v>121</v>
      </c>
      <c r="G8" s="6" t="n">
        <v>30</v>
      </c>
      <c r="H8" s="6" t="s">
        <v>122</v>
      </c>
    </row>
    <row r="9" customFormat="false" ht="15" hidden="false" customHeight="false" outlineLevel="0" collapsed="false">
      <c r="A9" s="7" t="s">
        <v>117</v>
      </c>
      <c r="B9" s="7" t="s">
        <v>123</v>
      </c>
      <c r="C9" s="7" t="s">
        <v>124</v>
      </c>
      <c r="D9" s="7" t="s">
        <v>125</v>
      </c>
      <c r="E9" s="7" t="s">
        <v>53</v>
      </c>
      <c r="F9" s="7" t="s">
        <v>115</v>
      </c>
      <c r="G9" s="7" t="n">
        <v>20</v>
      </c>
      <c r="H9" s="7" t="s">
        <v>122</v>
      </c>
    </row>
    <row r="10" customFormat="false" ht="15" hidden="false" customHeight="false" outlineLevel="0" collapsed="false">
      <c r="A10" s="6" t="s">
        <v>117</v>
      </c>
      <c r="B10" s="6" t="s">
        <v>126</v>
      </c>
      <c r="C10" s="6" t="s">
        <v>127</v>
      </c>
      <c r="D10" s="6" t="s">
        <v>128</v>
      </c>
      <c r="E10" s="6" t="s">
        <v>129</v>
      </c>
      <c r="F10" s="6" t="s">
        <v>121</v>
      </c>
      <c r="G10" s="6" t="n">
        <v>2500</v>
      </c>
      <c r="H10" s="6" t="s">
        <v>130</v>
      </c>
    </row>
    <row r="11" customFormat="false" ht="15" hidden="false" customHeight="false" outlineLevel="0" collapsed="false">
      <c r="A11" s="7" t="s">
        <v>131</v>
      </c>
      <c r="B11" s="7" t="s">
        <v>131</v>
      </c>
      <c r="C11" s="7" t="s">
        <v>132</v>
      </c>
      <c r="D11" s="7" t="s">
        <v>133</v>
      </c>
      <c r="E11" s="7" t="s">
        <v>134</v>
      </c>
      <c r="F11" s="7" t="s">
        <v>135</v>
      </c>
      <c r="G11" s="7" t="n">
        <v>5000</v>
      </c>
      <c r="H11" s="7" t="s">
        <v>136</v>
      </c>
    </row>
    <row r="12" customFormat="false" ht="23.85" hidden="false" customHeight="false" outlineLevel="0" collapsed="false">
      <c r="A12" s="6" t="s">
        <v>131</v>
      </c>
      <c r="B12" s="6" t="s">
        <v>137</v>
      </c>
      <c r="C12" s="6" t="s">
        <v>138</v>
      </c>
      <c r="D12" s="6" t="s">
        <v>139</v>
      </c>
      <c r="E12" s="6" t="s">
        <v>140</v>
      </c>
      <c r="F12" s="6" t="s">
        <v>121</v>
      </c>
      <c r="G12" s="6" t="n">
        <v>75000</v>
      </c>
      <c r="H12" s="6" t="s">
        <v>141</v>
      </c>
    </row>
    <row r="13" customFormat="false" ht="15" hidden="false" customHeight="false" outlineLevel="0" collapsed="false">
      <c r="A13" s="7" t="s">
        <v>131</v>
      </c>
      <c r="B13" s="7" t="s">
        <v>142</v>
      </c>
      <c r="C13" s="7" t="s">
        <v>143</v>
      </c>
      <c r="D13" s="7" t="s">
        <v>144</v>
      </c>
      <c r="E13" s="7" t="s">
        <v>145</v>
      </c>
      <c r="F13" s="7" t="s">
        <v>146</v>
      </c>
      <c r="G13" s="7" t="n">
        <v>5000000</v>
      </c>
      <c r="H13" s="7" t="s">
        <v>147</v>
      </c>
    </row>
    <row r="14" customFormat="false" ht="23.85" hidden="false" customHeight="false" outlineLevel="0" collapsed="false">
      <c r="A14" s="6" t="s">
        <v>131</v>
      </c>
      <c r="B14" s="6" t="s">
        <v>148</v>
      </c>
      <c r="C14" s="6" t="s">
        <v>149</v>
      </c>
      <c r="D14" s="6" t="s">
        <v>150</v>
      </c>
      <c r="E14" s="6" t="s">
        <v>151</v>
      </c>
      <c r="F14" s="6" t="s">
        <v>152</v>
      </c>
      <c r="G14" s="6" t="n">
        <v>25000000</v>
      </c>
      <c r="H14" s="6" t="s">
        <v>153</v>
      </c>
    </row>
    <row r="15" customFormat="false" ht="15" hidden="false" customHeight="false" outlineLevel="0" collapsed="false">
      <c r="A15" s="7" t="s">
        <v>131</v>
      </c>
      <c r="B15" s="7" t="s">
        <v>154</v>
      </c>
      <c r="C15" s="7" t="s">
        <v>155</v>
      </c>
      <c r="D15" s="7" t="s">
        <v>156</v>
      </c>
      <c r="E15" s="7" t="s">
        <v>157</v>
      </c>
      <c r="F15" s="7" t="s">
        <v>158</v>
      </c>
      <c r="G15" s="7" t="n">
        <v>1000000</v>
      </c>
      <c r="H15" s="7" t="s">
        <v>159</v>
      </c>
    </row>
    <row r="16" customFormat="false" ht="15" hidden="false" customHeight="false" outlineLevel="0" collapsed="false">
      <c r="A16" s="6" t="s">
        <v>131</v>
      </c>
      <c r="B16" s="6" t="s">
        <v>160</v>
      </c>
      <c r="C16" s="6" t="s">
        <v>161</v>
      </c>
      <c r="D16" s="6" t="s">
        <v>162</v>
      </c>
      <c r="E16" s="6" t="s">
        <v>163</v>
      </c>
      <c r="F16" s="6" t="s">
        <v>121</v>
      </c>
      <c r="G16" s="6" t="n">
        <v>500000</v>
      </c>
      <c r="H16" s="6" t="s">
        <v>99</v>
      </c>
    </row>
    <row r="17" customFormat="false" ht="15" hidden="false" customHeight="false" outlineLevel="0" collapsed="false">
      <c r="A17" s="7" t="s">
        <v>131</v>
      </c>
      <c r="B17" s="7" t="s">
        <v>164</v>
      </c>
      <c r="C17" s="7" t="s">
        <v>165</v>
      </c>
      <c r="D17" s="7" t="s">
        <v>166</v>
      </c>
      <c r="E17" s="7" t="s">
        <v>167</v>
      </c>
      <c r="F17" s="7" t="s">
        <v>158</v>
      </c>
      <c r="G17" s="7" t="n">
        <v>800000</v>
      </c>
      <c r="H17" s="7" t="s">
        <v>168</v>
      </c>
    </row>
    <row r="18" customFormat="false" ht="23.85" hidden="false" customHeight="false" outlineLevel="0" collapsed="false">
      <c r="A18" s="6" t="s">
        <v>169</v>
      </c>
      <c r="B18" s="6" t="s">
        <v>170</v>
      </c>
      <c r="C18" s="6" t="s">
        <v>171</v>
      </c>
      <c r="D18" s="6" t="s">
        <v>172</v>
      </c>
      <c r="E18" s="6" t="s">
        <v>173</v>
      </c>
      <c r="F18" s="6" t="s">
        <v>98</v>
      </c>
      <c r="G18" s="6" t="n">
        <v>15000000</v>
      </c>
      <c r="H18" s="6" t="s">
        <v>174</v>
      </c>
    </row>
    <row r="19" customFormat="false" ht="15" hidden="false" customHeight="false" outlineLevel="0" collapsed="false">
      <c r="A19" s="7" t="s">
        <v>169</v>
      </c>
      <c r="B19" s="7" t="s">
        <v>175</v>
      </c>
      <c r="C19" s="7" t="s">
        <v>176</v>
      </c>
      <c r="D19" s="7" t="s">
        <v>177</v>
      </c>
      <c r="E19" s="7" t="s">
        <v>178</v>
      </c>
      <c r="F19" s="7" t="s">
        <v>104</v>
      </c>
      <c r="G19" s="7" t="n">
        <v>50000000</v>
      </c>
      <c r="H19" s="7" t="s">
        <v>174</v>
      </c>
    </row>
    <row r="20" customFormat="false" ht="15" hidden="false" customHeight="false" outlineLevel="0" collapsed="false">
      <c r="A20" s="6" t="s">
        <v>169</v>
      </c>
      <c r="B20" s="6" t="s">
        <v>179</v>
      </c>
      <c r="C20" s="6" t="s">
        <v>180</v>
      </c>
      <c r="D20" s="6" t="s">
        <v>181</v>
      </c>
      <c r="E20" s="6" t="s">
        <v>182</v>
      </c>
      <c r="F20" s="6" t="s">
        <v>121</v>
      </c>
      <c r="G20" s="6" t="n">
        <v>5000000</v>
      </c>
      <c r="H20" s="6" t="s">
        <v>183</v>
      </c>
    </row>
    <row r="21" customFormat="false" ht="15" hidden="false" customHeight="false" outlineLevel="0" collapsed="false">
      <c r="A21" s="7" t="s">
        <v>169</v>
      </c>
      <c r="B21" s="7" t="s">
        <v>184</v>
      </c>
      <c r="C21" s="7" t="s">
        <v>185</v>
      </c>
      <c r="D21" s="7" t="s">
        <v>186</v>
      </c>
      <c r="E21" s="7" t="s">
        <v>187</v>
      </c>
      <c r="F21" s="7" t="s">
        <v>98</v>
      </c>
      <c r="G21" s="7" t="n">
        <v>2000000</v>
      </c>
      <c r="H21" s="7" t="s">
        <v>188</v>
      </c>
    </row>
    <row r="22" customFormat="false" ht="15" hidden="false" customHeight="false" outlineLevel="0" collapsed="false">
      <c r="A22" s="6" t="s">
        <v>169</v>
      </c>
      <c r="B22" s="6" t="s">
        <v>189</v>
      </c>
      <c r="C22" s="6" t="s">
        <v>190</v>
      </c>
      <c r="D22" s="6" t="s">
        <v>191</v>
      </c>
      <c r="E22" s="6" t="s">
        <v>192</v>
      </c>
      <c r="F22" s="6" t="s">
        <v>121</v>
      </c>
      <c r="G22" s="6" t="n">
        <v>200000</v>
      </c>
      <c r="H22" s="6" t="s">
        <v>193</v>
      </c>
    </row>
    <row r="23" customFormat="false" ht="15" hidden="false" customHeight="false" outlineLevel="0" collapsed="false">
      <c r="A23" s="7" t="s">
        <v>169</v>
      </c>
      <c r="B23" s="7" t="s">
        <v>194</v>
      </c>
      <c r="C23" s="7" t="s">
        <v>195</v>
      </c>
      <c r="D23" s="7" t="s">
        <v>196</v>
      </c>
      <c r="E23" s="7" t="s">
        <v>197</v>
      </c>
      <c r="F23" s="7" t="s">
        <v>98</v>
      </c>
      <c r="G23" s="7" t="n">
        <v>50000000</v>
      </c>
      <c r="H23" s="7" t="s">
        <v>153</v>
      </c>
    </row>
    <row r="24" customFormat="false" ht="23.85" hidden="false" customHeight="false" outlineLevel="0" collapsed="false">
      <c r="A24" s="6" t="s">
        <v>198</v>
      </c>
      <c r="B24" s="6" t="s">
        <v>198</v>
      </c>
      <c r="C24" s="6" t="s">
        <v>199</v>
      </c>
      <c r="D24" s="6" t="s">
        <v>200</v>
      </c>
      <c r="E24" s="6" t="s">
        <v>53</v>
      </c>
      <c r="F24" s="6" t="s">
        <v>98</v>
      </c>
      <c r="G24" s="6" t="n">
        <v>5000</v>
      </c>
      <c r="H24" s="6" t="s">
        <v>201</v>
      </c>
    </row>
    <row r="25" customFormat="false" ht="15" hidden="false" customHeight="false" outlineLevel="0" collapsed="false">
      <c r="A25" s="7" t="s">
        <v>198</v>
      </c>
      <c r="B25" s="7" t="s">
        <v>202</v>
      </c>
      <c r="C25" s="7" t="s">
        <v>203</v>
      </c>
      <c r="D25" s="7" t="s">
        <v>204</v>
      </c>
      <c r="E25" s="7" t="s">
        <v>205</v>
      </c>
      <c r="F25" s="7" t="s">
        <v>158</v>
      </c>
      <c r="G25" s="7" t="n">
        <v>250000</v>
      </c>
      <c r="H25" s="7" t="s">
        <v>206</v>
      </c>
    </row>
    <row r="26" customFormat="false" ht="15" hidden="false" customHeight="false" outlineLevel="0" collapsed="false">
      <c r="A26" s="6" t="s">
        <v>198</v>
      </c>
      <c r="B26" s="6" t="s">
        <v>207</v>
      </c>
      <c r="C26" s="6" t="s">
        <v>208</v>
      </c>
      <c r="D26" s="6" t="s">
        <v>209</v>
      </c>
      <c r="E26" s="6" t="s">
        <v>210</v>
      </c>
      <c r="F26" s="6" t="s">
        <v>104</v>
      </c>
      <c r="G26" s="6" t="n">
        <v>30000000</v>
      </c>
      <c r="H26" s="6" t="s">
        <v>211</v>
      </c>
    </row>
    <row r="27" customFormat="false" ht="23.85" hidden="false" customHeight="false" outlineLevel="0" collapsed="false">
      <c r="A27" s="7" t="s">
        <v>198</v>
      </c>
      <c r="B27" s="7" t="s">
        <v>212</v>
      </c>
      <c r="C27" s="7" t="s">
        <v>213</v>
      </c>
      <c r="D27" s="7" t="s">
        <v>214</v>
      </c>
      <c r="E27" s="7" t="s">
        <v>215</v>
      </c>
      <c r="F27" s="7" t="s">
        <v>158</v>
      </c>
      <c r="G27" s="7" t="n">
        <v>600000000</v>
      </c>
      <c r="H27" s="7" t="s">
        <v>216</v>
      </c>
    </row>
    <row r="28" customFormat="false" ht="15" hidden="false" customHeight="false" outlineLevel="0" collapsed="false">
      <c r="A28" s="6" t="s">
        <v>217</v>
      </c>
      <c r="B28" s="6" t="s">
        <v>218</v>
      </c>
      <c r="C28" s="6" t="s">
        <v>219</v>
      </c>
      <c r="D28" s="6" t="s">
        <v>220</v>
      </c>
      <c r="E28" s="6" t="s">
        <v>210</v>
      </c>
      <c r="F28" s="6" t="s">
        <v>158</v>
      </c>
      <c r="G28" s="6" t="n">
        <v>30000000</v>
      </c>
      <c r="H28" s="6" t="s">
        <v>221</v>
      </c>
    </row>
    <row r="29" customFormat="false" ht="15" hidden="false" customHeight="false" outlineLevel="0" collapsed="false">
      <c r="A29" s="7" t="s">
        <v>217</v>
      </c>
      <c r="B29" s="7" t="s">
        <v>222</v>
      </c>
      <c r="C29" s="7" t="s">
        <v>223</v>
      </c>
      <c r="D29" s="7" t="s">
        <v>224</v>
      </c>
      <c r="E29" s="7" t="s">
        <v>225</v>
      </c>
      <c r="F29" s="7" t="s">
        <v>104</v>
      </c>
      <c r="G29" s="7" t="n">
        <v>25000000</v>
      </c>
      <c r="H29" s="7" t="s">
        <v>226</v>
      </c>
    </row>
    <row r="30" customFormat="false" ht="15" hidden="false" customHeight="false" outlineLevel="0" collapsed="false">
      <c r="A30" s="6" t="s">
        <v>227</v>
      </c>
      <c r="B30" s="6" t="s">
        <v>228</v>
      </c>
      <c r="C30" s="6" t="s">
        <v>229</v>
      </c>
      <c r="D30" s="6" t="s">
        <v>230</v>
      </c>
      <c r="E30" s="6" t="s">
        <v>231</v>
      </c>
      <c r="F30" s="6" t="s">
        <v>232</v>
      </c>
      <c r="G30" s="6" t="n">
        <v>250000</v>
      </c>
      <c r="H30" s="6" t="s">
        <v>233</v>
      </c>
    </row>
    <row r="31" customFormat="false" ht="15" hidden="false" customHeight="false" outlineLevel="0" collapsed="false">
      <c r="A31" s="7" t="s">
        <v>227</v>
      </c>
      <c r="B31" s="7" t="s">
        <v>234</v>
      </c>
      <c r="C31" s="7" t="s">
        <v>235</v>
      </c>
      <c r="D31" s="7" t="s">
        <v>236</v>
      </c>
      <c r="E31" s="7" t="s">
        <v>237</v>
      </c>
      <c r="F31" s="7" t="s">
        <v>158</v>
      </c>
      <c r="G31" s="7" t="n">
        <v>100000000</v>
      </c>
      <c r="H31" s="7" t="s">
        <v>238</v>
      </c>
    </row>
    <row r="32" customFormat="false" ht="15" hidden="false" customHeight="false" outlineLevel="0" collapsed="false">
      <c r="A32" s="6" t="s">
        <v>227</v>
      </c>
      <c r="B32" s="6" t="s">
        <v>239</v>
      </c>
      <c r="C32" s="6" t="s">
        <v>240</v>
      </c>
      <c r="D32" s="6" t="s">
        <v>241</v>
      </c>
      <c r="E32" s="6" t="s">
        <v>53</v>
      </c>
      <c r="F32" s="6" t="s">
        <v>121</v>
      </c>
      <c r="G32" s="6" t="n">
        <v>50</v>
      </c>
      <c r="H32" s="6" t="s">
        <v>122</v>
      </c>
    </row>
    <row r="33" customFormat="false" ht="15" hidden="false" customHeight="false" outlineLevel="0" collapsed="false">
      <c r="A33" s="7" t="s">
        <v>227</v>
      </c>
      <c r="B33" s="7" t="s">
        <v>242</v>
      </c>
      <c r="C33" s="7" t="s">
        <v>243</v>
      </c>
      <c r="D33" s="7" t="s">
        <v>244</v>
      </c>
      <c r="E33" s="7" t="s">
        <v>245</v>
      </c>
      <c r="F33" s="7" t="s">
        <v>232</v>
      </c>
      <c r="G33" s="7" t="n">
        <v>2000000</v>
      </c>
      <c r="H33" s="7" t="s">
        <v>159</v>
      </c>
    </row>
    <row r="34" customFormat="false" ht="15" hidden="false" customHeight="false" outlineLevel="0" collapsed="false">
      <c r="A34" s="6" t="s">
        <v>227</v>
      </c>
      <c r="B34" s="6" t="s">
        <v>246</v>
      </c>
      <c r="C34" s="6" t="s">
        <v>247</v>
      </c>
      <c r="D34" s="6" t="s">
        <v>248</v>
      </c>
      <c r="E34" s="6" t="s">
        <v>249</v>
      </c>
      <c r="F34" s="6" t="s">
        <v>158</v>
      </c>
      <c r="G34" s="6" t="n">
        <v>30000000</v>
      </c>
      <c r="H34" s="6" t="s">
        <v>221</v>
      </c>
    </row>
    <row r="35" customFormat="false" ht="15" hidden="false" customHeight="false" outlineLevel="0" collapsed="false">
      <c r="A35" s="7" t="s">
        <v>250</v>
      </c>
      <c r="B35" s="7" t="s">
        <v>250</v>
      </c>
      <c r="C35" s="7" t="s">
        <v>251</v>
      </c>
      <c r="D35" s="7" t="s">
        <v>252</v>
      </c>
      <c r="E35" s="7" t="s">
        <v>253</v>
      </c>
      <c r="F35" s="7" t="s">
        <v>121</v>
      </c>
      <c r="G35" s="7" t="n">
        <v>5000</v>
      </c>
      <c r="H35" s="7" t="s">
        <v>254</v>
      </c>
    </row>
    <row r="36" customFormat="false" ht="15" hidden="false" customHeight="false" outlineLevel="0" collapsed="false">
      <c r="A36" s="6" t="s">
        <v>250</v>
      </c>
      <c r="B36" s="6" t="s">
        <v>255</v>
      </c>
      <c r="C36" s="6" t="s">
        <v>256</v>
      </c>
      <c r="D36" s="6" t="s">
        <v>257</v>
      </c>
      <c r="E36" s="6" t="s">
        <v>258</v>
      </c>
      <c r="F36" s="6" t="s">
        <v>232</v>
      </c>
      <c r="G36" s="6" t="n">
        <v>150000</v>
      </c>
      <c r="H36" s="6" t="s">
        <v>259</v>
      </c>
    </row>
    <row r="37" customFormat="false" ht="15" hidden="false" customHeight="false" outlineLevel="0" collapsed="false">
      <c r="A37" s="7" t="s">
        <v>250</v>
      </c>
      <c r="B37" s="7" t="s">
        <v>260</v>
      </c>
      <c r="C37" s="7" t="s">
        <v>261</v>
      </c>
      <c r="D37" s="7" t="s">
        <v>262</v>
      </c>
      <c r="E37" s="7" t="s">
        <v>263</v>
      </c>
      <c r="F37" s="7" t="s">
        <v>121</v>
      </c>
      <c r="G37" s="7" t="n">
        <v>50000</v>
      </c>
      <c r="H37" s="7" t="s">
        <v>233</v>
      </c>
    </row>
    <row r="38" customFormat="false" ht="15" hidden="false" customHeight="false" outlineLevel="0" collapsed="false">
      <c r="A38" s="6" t="s">
        <v>264</v>
      </c>
      <c r="B38" s="6" t="s">
        <v>265</v>
      </c>
      <c r="C38" s="6" t="s">
        <v>266</v>
      </c>
      <c r="D38" s="6" t="s">
        <v>267</v>
      </c>
      <c r="E38" s="6" t="s">
        <v>53</v>
      </c>
      <c r="F38" s="6" t="s">
        <v>121</v>
      </c>
      <c r="G38" s="6" t="n">
        <v>10</v>
      </c>
      <c r="H38" s="6" t="s">
        <v>122</v>
      </c>
    </row>
    <row r="39" customFormat="false" ht="15" hidden="false" customHeight="false" outlineLevel="0" collapsed="false">
      <c r="A39" s="7" t="s">
        <v>264</v>
      </c>
      <c r="B39" s="7" t="s">
        <v>268</v>
      </c>
      <c r="C39" s="7" t="s">
        <v>269</v>
      </c>
      <c r="D39" s="7" t="s">
        <v>270</v>
      </c>
      <c r="E39" s="7" t="s">
        <v>271</v>
      </c>
      <c r="F39" s="7" t="s">
        <v>121</v>
      </c>
      <c r="G39" s="7" t="n">
        <v>30000</v>
      </c>
      <c r="H39" s="7" t="s">
        <v>259</v>
      </c>
    </row>
    <row r="40" customFormat="false" ht="15" hidden="false" customHeight="false" outlineLevel="0" collapsed="false">
      <c r="A40" s="6" t="s">
        <v>264</v>
      </c>
      <c r="B40" s="6" t="s">
        <v>272</v>
      </c>
      <c r="C40" s="6" t="s">
        <v>273</v>
      </c>
      <c r="D40" s="6" t="s">
        <v>274</v>
      </c>
      <c r="E40" s="6" t="s">
        <v>275</v>
      </c>
      <c r="F40" s="6" t="s">
        <v>98</v>
      </c>
      <c r="G40" s="6" t="n">
        <v>200000</v>
      </c>
      <c r="H40" s="6" t="s">
        <v>159</v>
      </c>
    </row>
    <row r="41" customFormat="false" ht="15" hidden="false" customHeight="false" outlineLevel="0" collapsed="false">
      <c r="A41" s="7" t="s">
        <v>264</v>
      </c>
      <c r="B41" s="7" t="s">
        <v>276</v>
      </c>
      <c r="C41" s="7" t="s">
        <v>277</v>
      </c>
      <c r="D41" s="7" t="s">
        <v>278</v>
      </c>
      <c r="E41" s="7" t="s">
        <v>237</v>
      </c>
      <c r="F41" s="7" t="s">
        <v>158</v>
      </c>
      <c r="G41" s="7" t="n">
        <v>10000000</v>
      </c>
      <c r="H41" s="7" t="s">
        <v>188</v>
      </c>
    </row>
    <row r="42" customFormat="false" ht="15" hidden="false" customHeight="false" outlineLevel="0" collapsed="false">
      <c r="A42" s="6" t="s">
        <v>279</v>
      </c>
      <c r="B42" s="6" t="s">
        <v>280</v>
      </c>
      <c r="C42" s="6" t="s">
        <v>281</v>
      </c>
      <c r="D42" s="6" t="s">
        <v>282</v>
      </c>
      <c r="E42" s="6" t="s">
        <v>283</v>
      </c>
      <c r="F42" s="6" t="s">
        <v>121</v>
      </c>
      <c r="G42" s="6" t="n">
        <v>50000</v>
      </c>
      <c r="H42" s="6" t="s">
        <v>233</v>
      </c>
    </row>
    <row r="43" customFormat="false" ht="15" hidden="false" customHeight="false" outlineLevel="0" collapsed="false">
      <c r="A43" s="7" t="s">
        <v>279</v>
      </c>
      <c r="B43" s="7" t="s">
        <v>284</v>
      </c>
      <c r="C43" s="7" t="s">
        <v>285</v>
      </c>
      <c r="D43" s="7" t="s">
        <v>286</v>
      </c>
      <c r="E43" s="7" t="s">
        <v>287</v>
      </c>
      <c r="F43" s="7" t="s">
        <v>121</v>
      </c>
      <c r="G43" s="7" t="n">
        <v>500000</v>
      </c>
      <c r="H43" s="7" t="s">
        <v>99</v>
      </c>
    </row>
    <row r="44" customFormat="false" ht="15" hidden="false" customHeight="false" outlineLevel="0" collapsed="false">
      <c r="A44" s="6" t="s">
        <v>288</v>
      </c>
      <c r="B44" s="6" t="s">
        <v>288</v>
      </c>
      <c r="C44" s="6" t="s">
        <v>289</v>
      </c>
      <c r="D44" s="6" t="s">
        <v>290</v>
      </c>
      <c r="E44" s="6" t="s">
        <v>291</v>
      </c>
      <c r="F44" s="6" t="s">
        <v>121</v>
      </c>
      <c r="G44" s="6" t="n">
        <v>50000000</v>
      </c>
      <c r="H44" s="6" t="s">
        <v>147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292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5" t="s">
        <v>293</v>
      </c>
      <c r="B3" s="5" t="s">
        <v>294</v>
      </c>
      <c r="C3" s="5" t="s">
        <v>295</v>
      </c>
      <c r="D3" s="5" t="s">
        <v>296</v>
      </c>
      <c r="E3" s="5" t="s">
        <v>297</v>
      </c>
      <c r="F3" s="5" t="s">
        <v>11</v>
      </c>
    </row>
    <row r="4" customFormat="false" ht="15" hidden="false" customHeight="false" outlineLevel="0" collapsed="false">
      <c r="A4" s="6" t="s">
        <v>296</v>
      </c>
      <c r="B4" s="6" t="s">
        <v>298</v>
      </c>
      <c r="C4" s="6" t="s">
        <v>299</v>
      </c>
      <c r="D4" s="6" t="s">
        <v>300</v>
      </c>
      <c r="E4" s="6" t="s">
        <v>301</v>
      </c>
      <c r="F4" s="6" t="s">
        <v>302</v>
      </c>
    </row>
    <row r="5" customFormat="false" ht="15" hidden="false" customHeight="false" outlineLevel="0" collapsed="false">
      <c r="A5" s="7" t="s">
        <v>296</v>
      </c>
      <c r="B5" s="7" t="s">
        <v>298</v>
      </c>
      <c r="C5" s="7" t="s">
        <v>303</v>
      </c>
      <c r="D5" s="7" t="s">
        <v>300</v>
      </c>
      <c r="E5" s="7" t="s">
        <v>301</v>
      </c>
      <c r="F5" s="7" t="s">
        <v>304</v>
      </c>
    </row>
    <row r="6" customFormat="false" ht="15" hidden="false" customHeight="false" outlineLevel="0" collapsed="false">
      <c r="A6" s="6" t="s">
        <v>296</v>
      </c>
      <c r="B6" s="6" t="s">
        <v>298</v>
      </c>
      <c r="C6" s="6" t="s">
        <v>305</v>
      </c>
      <c r="D6" s="6" t="s">
        <v>306</v>
      </c>
      <c r="E6" s="6" t="s">
        <v>307</v>
      </c>
      <c r="F6" s="6" t="s">
        <v>308</v>
      </c>
    </row>
    <row r="7" customFormat="false" ht="15" hidden="false" customHeight="false" outlineLevel="0" collapsed="false">
      <c r="A7" s="7" t="s">
        <v>296</v>
      </c>
      <c r="B7" s="7" t="s">
        <v>298</v>
      </c>
      <c r="C7" s="7" t="s">
        <v>309</v>
      </c>
      <c r="D7" s="7" t="s">
        <v>310</v>
      </c>
      <c r="E7" s="7" t="s">
        <v>311</v>
      </c>
      <c r="F7" s="7" t="s">
        <v>312</v>
      </c>
    </row>
    <row r="8" customFormat="false" ht="15" hidden="false" customHeight="false" outlineLevel="0" collapsed="false">
      <c r="A8" s="6" t="s">
        <v>296</v>
      </c>
      <c r="B8" s="6" t="s">
        <v>298</v>
      </c>
      <c r="C8" s="6" t="s">
        <v>313</v>
      </c>
      <c r="D8" s="6" t="s">
        <v>300</v>
      </c>
      <c r="E8" s="6" t="s">
        <v>301</v>
      </c>
      <c r="F8" s="6" t="s">
        <v>314</v>
      </c>
    </row>
    <row r="9" customFormat="false" ht="15" hidden="false" customHeight="false" outlineLevel="0" collapsed="false">
      <c r="A9" s="7" t="s">
        <v>296</v>
      </c>
      <c r="B9" s="7" t="s">
        <v>298</v>
      </c>
      <c r="C9" s="7" t="s">
        <v>315</v>
      </c>
      <c r="D9" s="7" t="s">
        <v>300</v>
      </c>
      <c r="E9" s="7" t="s">
        <v>301</v>
      </c>
      <c r="F9" s="7" t="s">
        <v>316</v>
      </c>
    </row>
    <row r="10" customFormat="false" ht="15" hidden="false" customHeight="false" outlineLevel="0" collapsed="false">
      <c r="A10" s="6" t="s">
        <v>296</v>
      </c>
      <c r="B10" s="6" t="s">
        <v>298</v>
      </c>
      <c r="C10" s="6" t="s">
        <v>317</v>
      </c>
      <c r="D10" s="6" t="s">
        <v>300</v>
      </c>
      <c r="E10" s="6" t="s">
        <v>301</v>
      </c>
      <c r="F10" s="6" t="s">
        <v>318</v>
      </c>
    </row>
    <row r="11" customFormat="false" ht="15" hidden="false" customHeight="false" outlineLevel="0" collapsed="false">
      <c r="A11" s="7" t="s">
        <v>296</v>
      </c>
      <c r="B11" s="7" t="s">
        <v>298</v>
      </c>
      <c r="C11" s="7" t="s">
        <v>319</v>
      </c>
      <c r="D11" s="7" t="s">
        <v>300</v>
      </c>
      <c r="E11" s="7" t="s">
        <v>320</v>
      </c>
      <c r="F11" s="7" t="s">
        <v>321</v>
      </c>
    </row>
    <row r="12" customFormat="false" ht="15" hidden="false" customHeight="false" outlineLevel="0" collapsed="false">
      <c r="A12" s="6" t="s">
        <v>296</v>
      </c>
      <c r="B12" s="6" t="s">
        <v>298</v>
      </c>
      <c r="C12" s="6" t="s">
        <v>322</v>
      </c>
      <c r="D12" s="6" t="s">
        <v>300</v>
      </c>
      <c r="E12" s="6" t="s">
        <v>301</v>
      </c>
      <c r="F12" s="6" t="s">
        <v>323</v>
      </c>
    </row>
    <row r="13" customFormat="false" ht="15" hidden="false" customHeight="false" outlineLevel="0" collapsed="false">
      <c r="A13" s="7" t="s">
        <v>324</v>
      </c>
      <c r="B13" s="7" t="s">
        <v>325</v>
      </c>
      <c r="C13" s="7" t="s">
        <v>326</v>
      </c>
      <c r="D13" s="7" t="s">
        <v>310</v>
      </c>
      <c r="E13" s="7" t="s">
        <v>327</v>
      </c>
      <c r="F13" s="7" t="s">
        <v>328</v>
      </c>
    </row>
    <row r="14" customFormat="false" ht="15" hidden="false" customHeight="false" outlineLevel="0" collapsed="false">
      <c r="A14" s="6" t="s">
        <v>324</v>
      </c>
      <c r="B14" s="6" t="s">
        <v>329</v>
      </c>
      <c r="C14" s="6" t="s">
        <v>326</v>
      </c>
      <c r="D14" s="6" t="s">
        <v>310</v>
      </c>
      <c r="E14" s="6" t="s">
        <v>330</v>
      </c>
      <c r="F14" s="6" t="s">
        <v>331</v>
      </c>
    </row>
    <row r="15" customFormat="false" ht="15" hidden="false" customHeight="false" outlineLevel="0" collapsed="false">
      <c r="A15" s="7" t="s">
        <v>324</v>
      </c>
      <c r="B15" s="7" t="s">
        <v>332</v>
      </c>
      <c r="C15" s="7" t="s">
        <v>326</v>
      </c>
      <c r="D15" s="7" t="s">
        <v>310</v>
      </c>
      <c r="E15" s="7" t="s">
        <v>333</v>
      </c>
      <c r="F15" s="7" t="s">
        <v>334</v>
      </c>
    </row>
    <row r="16" customFormat="false" ht="15" hidden="false" customHeight="false" outlineLevel="0" collapsed="false">
      <c r="A16" s="6" t="s">
        <v>324</v>
      </c>
      <c r="B16" s="6" t="s">
        <v>298</v>
      </c>
      <c r="C16" s="6" t="s">
        <v>335</v>
      </c>
      <c r="D16" s="6" t="s">
        <v>310</v>
      </c>
      <c r="E16" s="6" t="s">
        <v>311</v>
      </c>
      <c r="F16" s="6" t="s">
        <v>336</v>
      </c>
    </row>
    <row r="17" customFormat="false" ht="15" hidden="false" customHeight="false" outlineLevel="0" collapsed="false">
      <c r="A17" s="7" t="s">
        <v>324</v>
      </c>
      <c r="B17" s="7" t="s">
        <v>325</v>
      </c>
      <c r="C17" s="7" t="s">
        <v>337</v>
      </c>
      <c r="D17" s="7" t="s">
        <v>310</v>
      </c>
      <c r="E17" s="7" t="s">
        <v>311</v>
      </c>
      <c r="F17" s="7" t="s">
        <v>338</v>
      </c>
    </row>
    <row r="18" customFormat="false" ht="15" hidden="false" customHeight="false" outlineLevel="0" collapsed="false">
      <c r="A18" s="6" t="s">
        <v>324</v>
      </c>
      <c r="B18" s="6" t="s">
        <v>332</v>
      </c>
      <c r="C18" s="6" t="s">
        <v>339</v>
      </c>
      <c r="D18" s="6" t="s">
        <v>310</v>
      </c>
      <c r="E18" s="6" t="s">
        <v>311</v>
      </c>
      <c r="F18" s="6" t="s">
        <v>340</v>
      </c>
    </row>
    <row r="19" customFormat="false" ht="15" hidden="false" customHeight="false" outlineLevel="0" collapsed="false">
      <c r="A19" s="7" t="s">
        <v>324</v>
      </c>
      <c r="B19" s="7" t="s">
        <v>325</v>
      </c>
      <c r="C19" s="7" t="s">
        <v>341</v>
      </c>
      <c r="D19" s="7" t="s">
        <v>310</v>
      </c>
      <c r="E19" s="7" t="s">
        <v>342</v>
      </c>
      <c r="F19" s="7" t="s">
        <v>343</v>
      </c>
    </row>
    <row r="20" customFormat="false" ht="15" hidden="false" customHeight="false" outlineLevel="0" collapsed="false">
      <c r="A20" s="6" t="s">
        <v>344</v>
      </c>
      <c r="B20" s="6" t="s">
        <v>325</v>
      </c>
      <c r="C20" s="6" t="s">
        <v>345</v>
      </c>
      <c r="D20" s="6" t="s">
        <v>300</v>
      </c>
      <c r="E20" s="6" t="s">
        <v>327</v>
      </c>
      <c r="F20" s="6" t="s">
        <v>346</v>
      </c>
    </row>
    <row r="21" customFormat="false" ht="15" hidden="false" customHeight="false" outlineLevel="0" collapsed="false">
      <c r="A21" s="7" t="s">
        <v>344</v>
      </c>
      <c r="B21" s="7" t="s">
        <v>325</v>
      </c>
      <c r="C21" s="7" t="s">
        <v>347</v>
      </c>
      <c r="D21" s="7" t="s">
        <v>300</v>
      </c>
      <c r="E21" s="7" t="s">
        <v>327</v>
      </c>
      <c r="F21" s="7" t="s">
        <v>348</v>
      </c>
    </row>
    <row r="22" customFormat="false" ht="15" hidden="false" customHeight="false" outlineLevel="0" collapsed="false">
      <c r="A22" s="6" t="s">
        <v>344</v>
      </c>
      <c r="B22" s="6" t="s">
        <v>325</v>
      </c>
      <c r="C22" s="6" t="s">
        <v>349</v>
      </c>
      <c r="D22" s="6" t="s">
        <v>300</v>
      </c>
      <c r="E22" s="6" t="s">
        <v>327</v>
      </c>
      <c r="F22" s="6" t="s">
        <v>350</v>
      </c>
    </row>
    <row r="23" customFormat="false" ht="15" hidden="false" customHeight="false" outlineLevel="0" collapsed="false">
      <c r="A23" s="7" t="s">
        <v>351</v>
      </c>
      <c r="B23" s="7" t="s">
        <v>325</v>
      </c>
      <c r="C23" s="7" t="s">
        <v>352</v>
      </c>
      <c r="D23" s="7" t="s">
        <v>310</v>
      </c>
      <c r="E23" s="7" t="s">
        <v>327</v>
      </c>
      <c r="F23" s="7" t="s">
        <v>353</v>
      </c>
    </row>
    <row r="24" customFormat="false" ht="15" hidden="false" customHeight="false" outlineLevel="0" collapsed="false">
      <c r="A24" s="6" t="s">
        <v>351</v>
      </c>
      <c r="B24" s="6" t="s">
        <v>325</v>
      </c>
      <c r="C24" s="6" t="s">
        <v>354</v>
      </c>
      <c r="D24" s="6" t="s">
        <v>310</v>
      </c>
      <c r="E24" s="6" t="s">
        <v>327</v>
      </c>
      <c r="F24" s="6" t="s">
        <v>355</v>
      </c>
    </row>
    <row r="25" customFormat="false" ht="15" hidden="false" customHeight="false" outlineLevel="0" collapsed="false">
      <c r="A25" s="7" t="s">
        <v>351</v>
      </c>
      <c r="B25" s="7" t="s">
        <v>325</v>
      </c>
      <c r="C25" s="7" t="s">
        <v>356</v>
      </c>
      <c r="D25" s="7" t="s">
        <v>310</v>
      </c>
      <c r="E25" s="7" t="s">
        <v>327</v>
      </c>
      <c r="F25" s="7" t="s">
        <v>357</v>
      </c>
    </row>
    <row r="26" customFormat="false" ht="15" hidden="false" customHeight="false" outlineLevel="0" collapsed="false">
      <c r="A26" s="6" t="s">
        <v>351</v>
      </c>
      <c r="B26" s="6" t="s">
        <v>325</v>
      </c>
      <c r="C26" s="6" t="s">
        <v>358</v>
      </c>
      <c r="D26" s="6" t="s">
        <v>310</v>
      </c>
      <c r="E26" s="6" t="s">
        <v>327</v>
      </c>
      <c r="F26" s="6" t="s">
        <v>359</v>
      </c>
    </row>
    <row r="27" customFormat="false" ht="15" hidden="false" customHeight="false" outlineLevel="0" collapsed="false">
      <c r="A27" s="7" t="s">
        <v>351</v>
      </c>
      <c r="B27" s="7" t="s">
        <v>325</v>
      </c>
      <c r="C27" s="7" t="s">
        <v>360</v>
      </c>
      <c r="D27" s="7" t="s">
        <v>310</v>
      </c>
      <c r="E27" s="7" t="s">
        <v>311</v>
      </c>
      <c r="F27" s="7" t="s">
        <v>361</v>
      </c>
    </row>
    <row r="28" customFormat="false" ht="15" hidden="false" customHeight="false" outlineLevel="0" collapsed="false">
      <c r="A28" s="6" t="s">
        <v>351</v>
      </c>
      <c r="B28" s="6" t="s">
        <v>298</v>
      </c>
      <c r="C28" s="6" t="s">
        <v>352</v>
      </c>
      <c r="D28" s="6" t="s">
        <v>362</v>
      </c>
      <c r="E28" s="6" t="s">
        <v>311</v>
      </c>
      <c r="F28" s="6" t="s">
        <v>363</v>
      </c>
    </row>
    <row r="29" customFormat="false" ht="15" hidden="false" customHeight="false" outlineLevel="0" collapsed="false">
      <c r="A29" s="7" t="s">
        <v>351</v>
      </c>
      <c r="B29" s="7" t="s">
        <v>329</v>
      </c>
      <c r="C29" s="7" t="s">
        <v>354</v>
      </c>
      <c r="D29" s="7" t="s">
        <v>364</v>
      </c>
      <c r="E29" s="7" t="s">
        <v>311</v>
      </c>
      <c r="F29" s="7" t="s">
        <v>365</v>
      </c>
    </row>
    <row r="30" customFormat="false" ht="15" hidden="false" customHeight="false" outlineLevel="0" collapsed="false">
      <c r="A30" s="6" t="s">
        <v>351</v>
      </c>
      <c r="B30" s="6" t="s">
        <v>332</v>
      </c>
      <c r="C30" s="6" t="s">
        <v>354</v>
      </c>
      <c r="D30" s="6" t="s">
        <v>364</v>
      </c>
      <c r="E30" s="6" t="s">
        <v>311</v>
      </c>
      <c r="F30" s="6" t="s">
        <v>366</v>
      </c>
    </row>
    <row r="31" customFormat="false" ht="15" hidden="false" customHeight="false" outlineLevel="0" collapsed="false">
      <c r="A31" s="7" t="s">
        <v>351</v>
      </c>
      <c r="B31" s="7" t="s">
        <v>298</v>
      </c>
      <c r="C31" s="7" t="s">
        <v>367</v>
      </c>
      <c r="D31" s="7" t="s">
        <v>279</v>
      </c>
      <c r="E31" s="7" t="s">
        <v>307</v>
      </c>
      <c r="F31" s="7" t="s">
        <v>368</v>
      </c>
    </row>
    <row r="32" customFormat="false" ht="15" hidden="false" customHeight="false" outlineLevel="0" collapsed="false">
      <c r="A32" s="6" t="s">
        <v>351</v>
      </c>
      <c r="B32" s="6" t="s">
        <v>325</v>
      </c>
      <c r="C32" s="6" t="s">
        <v>369</v>
      </c>
      <c r="D32" s="6" t="s">
        <v>310</v>
      </c>
      <c r="E32" s="6" t="s">
        <v>370</v>
      </c>
      <c r="F32" s="6" t="s">
        <v>371</v>
      </c>
    </row>
    <row r="33" customFormat="false" ht="23.85" hidden="false" customHeight="false" outlineLevel="0" collapsed="false">
      <c r="A33" s="7" t="s">
        <v>351</v>
      </c>
      <c r="B33" s="7" t="s">
        <v>372</v>
      </c>
      <c r="C33" s="7" t="s">
        <v>373</v>
      </c>
      <c r="D33" s="7" t="s">
        <v>310</v>
      </c>
      <c r="E33" s="7" t="s">
        <v>330</v>
      </c>
      <c r="F33" s="7" t="s">
        <v>374</v>
      </c>
    </row>
    <row r="34" customFormat="false" ht="23.85" hidden="false" customHeight="false" outlineLevel="0" collapsed="false">
      <c r="A34" s="6" t="s">
        <v>351</v>
      </c>
      <c r="B34" s="6" t="s">
        <v>372</v>
      </c>
      <c r="C34" s="6" t="s">
        <v>375</v>
      </c>
      <c r="D34" s="6" t="s">
        <v>310</v>
      </c>
      <c r="E34" s="6" t="s">
        <v>330</v>
      </c>
      <c r="F34" s="6" t="s">
        <v>376</v>
      </c>
    </row>
    <row r="35" customFormat="false" ht="15" hidden="false" customHeight="false" outlineLevel="0" collapsed="false">
      <c r="A35" s="7" t="s">
        <v>351</v>
      </c>
      <c r="B35" s="7" t="s">
        <v>325</v>
      </c>
      <c r="C35" s="7" t="s">
        <v>377</v>
      </c>
      <c r="D35" s="7" t="s">
        <v>310</v>
      </c>
      <c r="E35" s="7" t="s">
        <v>330</v>
      </c>
      <c r="F35" s="7" t="s">
        <v>378</v>
      </c>
    </row>
    <row r="36" customFormat="false" ht="15" hidden="false" customHeight="false" outlineLevel="0" collapsed="false">
      <c r="A36" s="6" t="s">
        <v>351</v>
      </c>
      <c r="B36" s="6" t="s">
        <v>379</v>
      </c>
      <c r="C36" s="6" t="s">
        <v>380</v>
      </c>
      <c r="D36" s="6" t="s">
        <v>310</v>
      </c>
      <c r="E36" s="6" t="s">
        <v>330</v>
      </c>
      <c r="F36" s="6" t="s">
        <v>381</v>
      </c>
    </row>
    <row r="37" customFormat="false" ht="15" hidden="false" customHeight="false" outlineLevel="0" collapsed="false">
      <c r="A37" s="7" t="s">
        <v>382</v>
      </c>
      <c r="B37" s="7" t="s">
        <v>298</v>
      </c>
      <c r="C37" s="7" t="s">
        <v>383</v>
      </c>
      <c r="D37" s="7" t="s">
        <v>310</v>
      </c>
      <c r="E37" s="7" t="s">
        <v>384</v>
      </c>
      <c r="F37" s="7" t="s">
        <v>385</v>
      </c>
    </row>
    <row r="38" customFormat="false" ht="15" hidden="false" customHeight="false" outlineLevel="0" collapsed="false">
      <c r="A38" s="6" t="s">
        <v>382</v>
      </c>
      <c r="B38" s="6" t="s">
        <v>298</v>
      </c>
      <c r="C38" s="6" t="s">
        <v>386</v>
      </c>
      <c r="D38" s="6" t="s">
        <v>310</v>
      </c>
      <c r="E38" s="6" t="s">
        <v>384</v>
      </c>
      <c r="F38" s="6" t="s">
        <v>387</v>
      </c>
    </row>
    <row r="39" customFormat="false" ht="15" hidden="false" customHeight="false" outlineLevel="0" collapsed="false">
      <c r="A39" s="7" t="s">
        <v>382</v>
      </c>
      <c r="B39" s="7" t="s">
        <v>298</v>
      </c>
      <c r="C39" s="7" t="s">
        <v>388</v>
      </c>
      <c r="D39" s="7" t="s">
        <v>310</v>
      </c>
      <c r="E39" s="7" t="s">
        <v>384</v>
      </c>
      <c r="F39" s="7" t="s">
        <v>387</v>
      </c>
    </row>
    <row r="40" customFormat="false" ht="15" hidden="false" customHeight="false" outlineLevel="0" collapsed="false">
      <c r="A40" s="6" t="s">
        <v>382</v>
      </c>
      <c r="B40" s="6" t="s">
        <v>325</v>
      </c>
      <c r="C40" s="6" t="s">
        <v>389</v>
      </c>
      <c r="D40" s="6" t="s">
        <v>310</v>
      </c>
      <c r="E40" s="6" t="s">
        <v>330</v>
      </c>
      <c r="F40" s="6" t="s">
        <v>390</v>
      </c>
    </row>
    <row r="41" customFormat="false" ht="15" hidden="false" customHeight="false" outlineLevel="0" collapsed="false">
      <c r="A41" s="7" t="s">
        <v>382</v>
      </c>
      <c r="B41" s="7" t="s">
        <v>325</v>
      </c>
      <c r="C41" s="7" t="s">
        <v>391</v>
      </c>
      <c r="D41" s="7" t="s">
        <v>310</v>
      </c>
      <c r="E41" s="7" t="s">
        <v>53</v>
      </c>
      <c r="F41" s="7" t="s">
        <v>392</v>
      </c>
    </row>
    <row r="42" customFormat="false" ht="15" hidden="false" customHeight="false" outlineLevel="0" collapsed="false">
      <c r="A42" s="6" t="s">
        <v>382</v>
      </c>
      <c r="B42" s="6" t="s">
        <v>298</v>
      </c>
      <c r="C42" s="6" t="s">
        <v>393</v>
      </c>
      <c r="D42" s="6" t="s">
        <v>310</v>
      </c>
      <c r="E42" s="6" t="s">
        <v>311</v>
      </c>
      <c r="F42" s="6" t="s">
        <v>394</v>
      </c>
    </row>
    <row r="43" customFormat="false" ht="15" hidden="false" customHeight="false" outlineLevel="0" collapsed="false">
      <c r="A43" s="7" t="s">
        <v>382</v>
      </c>
      <c r="B43" s="7" t="s">
        <v>395</v>
      </c>
      <c r="C43" s="7" t="s">
        <v>396</v>
      </c>
      <c r="D43" s="7" t="s">
        <v>310</v>
      </c>
      <c r="E43" s="7" t="s">
        <v>311</v>
      </c>
      <c r="F43" s="7" t="s">
        <v>397</v>
      </c>
    </row>
    <row r="44" customFormat="false" ht="15" hidden="false" customHeight="false" outlineLevel="0" collapsed="false">
      <c r="A44" s="6" t="s">
        <v>382</v>
      </c>
      <c r="B44" s="6" t="s">
        <v>325</v>
      </c>
      <c r="C44" s="6" t="s">
        <v>398</v>
      </c>
      <c r="D44" s="6" t="s">
        <v>310</v>
      </c>
      <c r="E44" s="6" t="s">
        <v>330</v>
      </c>
      <c r="F44" s="6" t="s">
        <v>399</v>
      </c>
    </row>
    <row r="45" customFormat="false" ht="15" hidden="false" customHeight="false" outlineLevel="0" collapsed="false">
      <c r="A45" s="7" t="s">
        <v>382</v>
      </c>
      <c r="B45" s="7" t="s">
        <v>298</v>
      </c>
      <c r="C45" s="7" t="s">
        <v>398</v>
      </c>
      <c r="D45" s="7" t="s">
        <v>310</v>
      </c>
      <c r="E45" s="7" t="s">
        <v>307</v>
      </c>
      <c r="F45" s="7" t="s">
        <v>400</v>
      </c>
    </row>
    <row r="46" customFormat="false" ht="15" hidden="false" customHeight="false" outlineLevel="0" collapsed="false">
      <c r="A46" s="6" t="s">
        <v>382</v>
      </c>
      <c r="B46" s="6" t="s">
        <v>332</v>
      </c>
      <c r="C46" s="6" t="s">
        <v>401</v>
      </c>
      <c r="D46" s="6" t="s">
        <v>310</v>
      </c>
      <c r="E46" s="6" t="s">
        <v>311</v>
      </c>
      <c r="F46" s="6" t="s">
        <v>402</v>
      </c>
    </row>
    <row r="47" customFormat="false" ht="15" hidden="false" customHeight="false" outlineLevel="0" collapsed="false">
      <c r="A47" s="7" t="s">
        <v>382</v>
      </c>
      <c r="B47" s="7" t="s">
        <v>325</v>
      </c>
      <c r="C47" s="7" t="s">
        <v>403</v>
      </c>
      <c r="D47" s="7" t="s">
        <v>310</v>
      </c>
      <c r="E47" s="7" t="s">
        <v>311</v>
      </c>
      <c r="F47" s="7" t="s">
        <v>404</v>
      </c>
    </row>
    <row r="48" customFormat="false" ht="15" hidden="false" customHeight="false" outlineLevel="0" collapsed="false">
      <c r="A48" s="6" t="s">
        <v>382</v>
      </c>
      <c r="B48" s="6" t="s">
        <v>298</v>
      </c>
      <c r="C48" s="6" t="s">
        <v>405</v>
      </c>
      <c r="D48" s="6" t="s">
        <v>310</v>
      </c>
      <c r="E48" s="6" t="s">
        <v>307</v>
      </c>
      <c r="F48" s="6" t="s">
        <v>406</v>
      </c>
    </row>
    <row r="49" customFormat="false" ht="15" hidden="false" customHeight="false" outlineLevel="0" collapsed="false">
      <c r="A49" s="7" t="s">
        <v>407</v>
      </c>
      <c r="B49" s="7" t="s">
        <v>325</v>
      </c>
      <c r="C49" s="7" t="s">
        <v>408</v>
      </c>
      <c r="D49" s="7" t="s">
        <v>310</v>
      </c>
      <c r="E49" s="7" t="s">
        <v>330</v>
      </c>
      <c r="F49" s="7" t="s">
        <v>409</v>
      </c>
    </row>
    <row r="50" customFormat="false" ht="15" hidden="false" customHeight="false" outlineLevel="0" collapsed="false">
      <c r="A50" s="6" t="s">
        <v>407</v>
      </c>
      <c r="B50" s="6" t="s">
        <v>325</v>
      </c>
      <c r="C50" s="6" t="s">
        <v>410</v>
      </c>
      <c r="D50" s="6" t="s">
        <v>310</v>
      </c>
      <c r="E50" s="6" t="s">
        <v>330</v>
      </c>
      <c r="F50" s="6" t="s">
        <v>411</v>
      </c>
    </row>
    <row r="51" customFormat="false" ht="15" hidden="false" customHeight="false" outlineLevel="0" collapsed="false">
      <c r="A51" s="7" t="s">
        <v>407</v>
      </c>
      <c r="B51" s="7" t="s">
        <v>298</v>
      </c>
      <c r="C51" s="7" t="s">
        <v>408</v>
      </c>
      <c r="D51" s="7" t="s">
        <v>412</v>
      </c>
      <c r="E51" s="7" t="s">
        <v>311</v>
      </c>
      <c r="F51" s="7" t="s">
        <v>413</v>
      </c>
    </row>
    <row r="52" customFormat="false" ht="15" hidden="false" customHeight="false" outlineLevel="0" collapsed="false">
      <c r="A52" s="6" t="s">
        <v>407</v>
      </c>
      <c r="B52" s="6" t="s">
        <v>329</v>
      </c>
      <c r="C52" s="6" t="s">
        <v>410</v>
      </c>
      <c r="D52" s="6" t="s">
        <v>414</v>
      </c>
      <c r="E52" s="6" t="s">
        <v>311</v>
      </c>
      <c r="F52" s="6" t="s">
        <v>415</v>
      </c>
    </row>
    <row r="53" customFormat="false" ht="15" hidden="false" customHeight="false" outlineLevel="0" collapsed="false">
      <c r="A53" s="7" t="s">
        <v>407</v>
      </c>
      <c r="B53" s="7" t="s">
        <v>332</v>
      </c>
      <c r="C53" s="7" t="s">
        <v>410</v>
      </c>
      <c r="D53" s="7" t="s">
        <v>414</v>
      </c>
      <c r="E53" s="7" t="s">
        <v>311</v>
      </c>
      <c r="F53" s="7" t="s">
        <v>402</v>
      </c>
    </row>
    <row r="54" customFormat="false" ht="15" hidden="false" customHeight="false" outlineLevel="0" collapsed="false">
      <c r="A54" s="6" t="s">
        <v>407</v>
      </c>
      <c r="B54" s="6" t="s">
        <v>298</v>
      </c>
      <c r="C54" s="6" t="s">
        <v>416</v>
      </c>
      <c r="D54" s="6" t="s">
        <v>310</v>
      </c>
      <c r="E54" s="6" t="s">
        <v>307</v>
      </c>
      <c r="F54" s="6" t="s">
        <v>417</v>
      </c>
    </row>
    <row r="55" customFormat="false" ht="15" hidden="false" customHeight="false" outlineLevel="0" collapsed="false">
      <c r="A55" s="7" t="s">
        <v>407</v>
      </c>
      <c r="B55" s="7" t="s">
        <v>298</v>
      </c>
      <c r="C55" s="7" t="s">
        <v>418</v>
      </c>
      <c r="D55" s="7" t="s">
        <v>310</v>
      </c>
      <c r="E55" s="7" t="s">
        <v>370</v>
      </c>
      <c r="F55" s="7" t="s">
        <v>419</v>
      </c>
    </row>
    <row r="56" customFormat="false" ht="15" hidden="false" customHeight="false" outlineLevel="0" collapsed="false">
      <c r="A56" s="6" t="s">
        <v>407</v>
      </c>
      <c r="B56" s="6" t="s">
        <v>298</v>
      </c>
      <c r="C56" s="6" t="s">
        <v>420</v>
      </c>
      <c r="D56" s="6" t="s">
        <v>310</v>
      </c>
      <c r="E56" s="6" t="s">
        <v>307</v>
      </c>
      <c r="F56" s="6" t="s">
        <v>421</v>
      </c>
    </row>
    <row r="57" customFormat="false" ht="15" hidden="false" customHeight="false" outlineLevel="0" collapsed="false">
      <c r="A57" s="7" t="s">
        <v>407</v>
      </c>
      <c r="B57" s="7" t="s">
        <v>325</v>
      </c>
      <c r="C57" s="7" t="s">
        <v>422</v>
      </c>
      <c r="D57" s="7" t="s">
        <v>310</v>
      </c>
      <c r="E57" s="7" t="s">
        <v>330</v>
      </c>
      <c r="F57" s="7" t="s">
        <v>423</v>
      </c>
    </row>
    <row r="58" customFormat="false" ht="15" hidden="false" customHeight="false" outlineLevel="0" collapsed="false">
      <c r="A58" s="6" t="s">
        <v>407</v>
      </c>
      <c r="B58" s="6" t="s">
        <v>325</v>
      </c>
      <c r="C58" s="6" t="s">
        <v>424</v>
      </c>
      <c r="D58" s="6" t="s">
        <v>310</v>
      </c>
      <c r="E58" s="6" t="s">
        <v>330</v>
      </c>
      <c r="F58" s="6" t="s">
        <v>399</v>
      </c>
    </row>
    <row r="59" customFormat="false" ht="15" hidden="false" customHeight="false" outlineLevel="0" collapsed="false">
      <c r="A59" s="7" t="s">
        <v>425</v>
      </c>
      <c r="B59" s="7" t="s">
        <v>298</v>
      </c>
      <c r="C59" s="7" t="s">
        <v>426</v>
      </c>
      <c r="D59" s="7" t="s">
        <v>310</v>
      </c>
      <c r="E59" s="7" t="s">
        <v>307</v>
      </c>
      <c r="F59" s="7" t="s">
        <v>427</v>
      </c>
    </row>
    <row r="60" customFormat="false" ht="15" hidden="false" customHeight="false" outlineLevel="0" collapsed="false">
      <c r="A60" s="6" t="s">
        <v>425</v>
      </c>
      <c r="B60" s="6" t="s">
        <v>298</v>
      </c>
      <c r="C60" s="6" t="s">
        <v>428</v>
      </c>
      <c r="D60" s="6" t="s">
        <v>310</v>
      </c>
      <c r="E60" s="6" t="s">
        <v>333</v>
      </c>
      <c r="F60" s="6" t="s">
        <v>429</v>
      </c>
    </row>
    <row r="61" customFormat="false" ht="15" hidden="false" customHeight="false" outlineLevel="0" collapsed="false">
      <c r="A61" s="7" t="s">
        <v>430</v>
      </c>
      <c r="B61" s="7" t="s">
        <v>325</v>
      </c>
      <c r="C61" s="7" t="s">
        <v>431</v>
      </c>
      <c r="D61" s="7" t="s">
        <v>310</v>
      </c>
      <c r="E61" s="7" t="s">
        <v>330</v>
      </c>
      <c r="F61" s="7" t="s">
        <v>432</v>
      </c>
    </row>
    <row r="62" customFormat="false" ht="15" hidden="false" customHeight="false" outlineLevel="0" collapsed="false">
      <c r="A62" s="6" t="s">
        <v>430</v>
      </c>
      <c r="B62" s="6" t="s">
        <v>298</v>
      </c>
      <c r="C62" s="6" t="s">
        <v>433</v>
      </c>
      <c r="D62" s="6" t="s">
        <v>310</v>
      </c>
      <c r="E62" s="6" t="s">
        <v>330</v>
      </c>
      <c r="F62" s="6" t="s">
        <v>434</v>
      </c>
    </row>
    <row r="63" customFormat="false" ht="15" hidden="false" customHeight="false" outlineLevel="0" collapsed="false">
      <c r="A63" s="7" t="s">
        <v>430</v>
      </c>
      <c r="B63" s="7" t="s">
        <v>298</v>
      </c>
      <c r="C63" s="7" t="s">
        <v>435</v>
      </c>
      <c r="D63" s="7" t="s">
        <v>310</v>
      </c>
      <c r="E63" s="7" t="s">
        <v>311</v>
      </c>
      <c r="F63" s="7" t="s">
        <v>436</v>
      </c>
    </row>
    <row r="64" customFormat="false" ht="15" hidden="false" customHeight="false" outlineLevel="0" collapsed="false">
      <c r="A64" s="6" t="s">
        <v>437</v>
      </c>
      <c r="B64" s="6" t="s">
        <v>325</v>
      </c>
      <c r="C64" s="6" t="s">
        <v>438</v>
      </c>
      <c r="D64" s="6" t="s">
        <v>310</v>
      </c>
      <c r="E64" s="6" t="s">
        <v>330</v>
      </c>
      <c r="F64" s="6" t="s">
        <v>439</v>
      </c>
    </row>
    <row r="65" customFormat="false" ht="15" hidden="false" customHeight="false" outlineLevel="0" collapsed="false">
      <c r="A65" s="7" t="s">
        <v>437</v>
      </c>
      <c r="B65" s="7" t="s">
        <v>325</v>
      </c>
      <c r="C65" s="7" t="s">
        <v>440</v>
      </c>
      <c r="D65" s="7" t="s">
        <v>310</v>
      </c>
      <c r="E65" s="7" t="s">
        <v>330</v>
      </c>
      <c r="F65" s="7" t="s">
        <v>441</v>
      </c>
    </row>
    <row r="66" customFormat="false" ht="15" hidden="false" customHeight="false" outlineLevel="0" collapsed="false">
      <c r="A66" s="6" t="s">
        <v>437</v>
      </c>
      <c r="B66" s="6" t="s">
        <v>325</v>
      </c>
      <c r="C66" s="6" t="s">
        <v>442</v>
      </c>
      <c r="D66" s="6" t="s">
        <v>310</v>
      </c>
      <c r="E66" s="6" t="s">
        <v>330</v>
      </c>
      <c r="F66" s="6" t="s">
        <v>443</v>
      </c>
    </row>
    <row r="67" customFormat="false" ht="15" hidden="false" customHeight="false" outlineLevel="0" collapsed="false">
      <c r="A67" s="7" t="s">
        <v>437</v>
      </c>
      <c r="B67" s="7" t="s">
        <v>325</v>
      </c>
      <c r="C67" s="7" t="s">
        <v>444</v>
      </c>
      <c r="D67" s="7" t="s">
        <v>310</v>
      </c>
      <c r="E67" s="7" t="s">
        <v>330</v>
      </c>
      <c r="F67" s="7" t="s">
        <v>445</v>
      </c>
    </row>
    <row r="68" customFormat="false" ht="15" hidden="false" customHeight="false" outlineLevel="0" collapsed="false">
      <c r="A68" s="6" t="s">
        <v>437</v>
      </c>
      <c r="B68" s="6" t="s">
        <v>325</v>
      </c>
      <c r="C68" s="6" t="s">
        <v>446</v>
      </c>
      <c r="D68" s="6" t="s">
        <v>310</v>
      </c>
      <c r="E68" s="6" t="s">
        <v>311</v>
      </c>
      <c r="F68" s="6" t="s">
        <v>447</v>
      </c>
    </row>
    <row r="69" customFormat="false" ht="15" hidden="false" customHeight="false" outlineLevel="0" collapsed="false">
      <c r="A69" s="7" t="s">
        <v>448</v>
      </c>
      <c r="B69" s="7" t="s">
        <v>325</v>
      </c>
      <c r="C69" s="7" t="s">
        <v>449</v>
      </c>
      <c r="D69" s="7" t="s">
        <v>310</v>
      </c>
      <c r="E69" s="7" t="s">
        <v>330</v>
      </c>
      <c r="F69" s="7" t="s">
        <v>450</v>
      </c>
    </row>
    <row r="70" customFormat="false" ht="15" hidden="false" customHeight="false" outlineLevel="0" collapsed="false">
      <c r="A70" s="6" t="s">
        <v>448</v>
      </c>
      <c r="B70" s="6" t="s">
        <v>325</v>
      </c>
      <c r="C70" s="6" t="s">
        <v>451</v>
      </c>
      <c r="D70" s="6" t="s">
        <v>310</v>
      </c>
      <c r="E70" s="6" t="s">
        <v>330</v>
      </c>
      <c r="F70" s="6" t="s">
        <v>243</v>
      </c>
    </row>
    <row r="71" customFormat="false" ht="15" hidden="false" customHeight="false" outlineLevel="0" collapsed="false">
      <c r="A71" s="7" t="s">
        <v>448</v>
      </c>
      <c r="B71" s="7" t="s">
        <v>325</v>
      </c>
      <c r="C71" s="7" t="s">
        <v>452</v>
      </c>
      <c r="D71" s="7" t="s">
        <v>310</v>
      </c>
      <c r="E71" s="7" t="s">
        <v>327</v>
      </c>
      <c r="F71" s="7" t="s">
        <v>240</v>
      </c>
    </row>
    <row r="72" customFormat="false" ht="15" hidden="false" customHeight="false" outlineLevel="0" collapsed="false">
      <c r="A72" s="6" t="s">
        <v>453</v>
      </c>
      <c r="B72" s="6" t="s">
        <v>325</v>
      </c>
      <c r="C72" s="6" t="s">
        <v>454</v>
      </c>
      <c r="D72" s="6" t="s">
        <v>412</v>
      </c>
      <c r="E72" s="6" t="s">
        <v>330</v>
      </c>
      <c r="F72" s="6" t="s">
        <v>455</v>
      </c>
    </row>
    <row r="73" customFormat="false" ht="15" hidden="false" customHeight="false" outlineLevel="0" collapsed="false">
      <c r="A73" s="7" t="s">
        <v>453</v>
      </c>
      <c r="B73" s="7" t="s">
        <v>298</v>
      </c>
      <c r="C73" s="7" t="s">
        <v>454</v>
      </c>
      <c r="D73" s="7" t="s">
        <v>412</v>
      </c>
      <c r="E73" s="7" t="s">
        <v>311</v>
      </c>
      <c r="F73" s="7" t="s">
        <v>413</v>
      </c>
    </row>
    <row r="74" customFormat="false" ht="15" hidden="false" customHeight="false" outlineLevel="0" collapsed="false">
      <c r="A74" s="6" t="s">
        <v>453</v>
      </c>
      <c r="B74" s="6" t="s">
        <v>325</v>
      </c>
      <c r="C74" s="6" t="s">
        <v>456</v>
      </c>
      <c r="D74" s="6" t="s">
        <v>457</v>
      </c>
      <c r="E74" s="6" t="s">
        <v>330</v>
      </c>
      <c r="F74" s="6" t="s">
        <v>458</v>
      </c>
    </row>
    <row r="75" customFormat="false" ht="15" hidden="false" customHeight="false" outlineLevel="0" collapsed="false">
      <c r="A75" s="7" t="s">
        <v>453</v>
      </c>
      <c r="B75" s="7" t="s">
        <v>298</v>
      </c>
      <c r="C75" s="7" t="s">
        <v>459</v>
      </c>
      <c r="D75" s="7" t="s">
        <v>310</v>
      </c>
      <c r="E75" s="7" t="s">
        <v>307</v>
      </c>
      <c r="F75" s="7" t="s">
        <v>460</v>
      </c>
    </row>
    <row r="76" customFormat="false" ht="15" hidden="false" customHeight="false" outlineLevel="0" collapsed="false">
      <c r="A76" s="6" t="s">
        <v>453</v>
      </c>
      <c r="B76" s="6" t="s">
        <v>332</v>
      </c>
      <c r="C76" s="6" t="s">
        <v>461</v>
      </c>
      <c r="D76" s="6" t="s">
        <v>412</v>
      </c>
      <c r="E76" s="6" t="s">
        <v>311</v>
      </c>
      <c r="F76" s="6" t="s">
        <v>462</v>
      </c>
    </row>
    <row r="77" customFormat="false" ht="15" hidden="false" customHeight="false" outlineLevel="0" collapsed="false">
      <c r="A77" s="7" t="s">
        <v>453</v>
      </c>
      <c r="B77" s="7" t="s">
        <v>395</v>
      </c>
      <c r="C77" s="7" t="s">
        <v>463</v>
      </c>
      <c r="D77" s="7" t="s">
        <v>412</v>
      </c>
      <c r="E77" s="7" t="s">
        <v>330</v>
      </c>
      <c r="F77" s="7" t="s">
        <v>464</v>
      </c>
    </row>
    <row r="78" customFormat="false" ht="15" hidden="false" customHeight="false" outlineLevel="0" collapsed="false">
      <c r="A78" s="6" t="s">
        <v>453</v>
      </c>
      <c r="B78" s="6" t="s">
        <v>325</v>
      </c>
      <c r="C78" s="6" t="s">
        <v>465</v>
      </c>
      <c r="D78" s="6" t="s">
        <v>412</v>
      </c>
      <c r="E78" s="6" t="s">
        <v>330</v>
      </c>
      <c r="F78" s="6" t="s">
        <v>466</v>
      </c>
    </row>
    <row r="79" customFormat="false" ht="15" hidden="false" customHeight="false" outlineLevel="0" collapsed="false">
      <c r="A79" s="7" t="s">
        <v>453</v>
      </c>
      <c r="B79" s="7" t="s">
        <v>325</v>
      </c>
      <c r="C79" s="7" t="s">
        <v>467</v>
      </c>
      <c r="D79" s="7" t="s">
        <v>412</v>
      </c>
      <c r="E79" s="7" t="s">
        <v>307</v>
      </c>
      <c r="F79" s="7" t="s">
        <v>468</v>
      </c>
    </row>
    <row r="80" customFormat="false" ht="15" hidden="false" customHeight="false" outlineLevel="0" collapsed="false">
      <c r="A80" s="6" t="s">
        <v>469</v>
      </c>
      <c r="B80" s="6" t="s">
        <v>325</v>
      </c>
      <c r="C80" s="6" t="s">
        <v>470</v>
      </c>
      <c r="D80" s="6" t="s">
        <v>300</v>
      </c>
      <c r="E80" s="6" t="s">
        <v>327</v>
      </c>
      <c r="F80" s="6" t="s">
        <v>240</v>
      </c>
    </row>
    <row r="81" customFormat="false" ht="15" hidden="false" customHeight="false" outlineLevel="0" collapsed="false">
      <c r="A81" s="7" t="s">
        <v>469</v>
      </c>
      <c r="B81" s="7" t="s">
        <v>325</v>
      </c>
      <c r="C81" s="7" t="s">
        <v>471</v>
      </c>
      <c r="D81" s="7" t="s">
        <v>310</v>
      </c>
      <c r="E81" s="7" t="s">
        <v>330</v>
      </c>
      <c r="F81" s="7" t="s">
        <v>472</v>
      </c>
    </row>
    <row r="82" customFormat="false" ht="15" hidden="false" customHeight="false" outlineLevel="0" collapsed="false">
      <c r="A82" s="6" t="s">
        <v>469</v>
      </c>
      <c r="B82" s="6" t="s">
        <v>298</v>
      </c>
      <c r="C82" s="6" t="s">
        <v>473</v>
      </c>
      <c r="D82" s="6" t="s">
        <v>310</v>
      </c>
      <c r="E82" s="6" t="s">
        <v>307</v>
      </c>
      <c r="F82" s="6" t="s">
        <v>474</v>
      </c>
    </row>
    <row r="83" customFormat="false" ht="15" hidden="false" customHeight="false" outlineLevel="0" collapsed="false">
      <c r="A83" s="7" t="s">
        <v>469</v>
      </c>
      <c r="B83" s="7" t="s">
        <v>298</v>
      </c>
      <c r="C83" s="7" t="s">
        <v>475</v>
      </c>
      <c r="D83" s="7" t="s">
        <v>476</v>
      </c>
      <c r="E83" s="7" t="s">
        <v>477</v>
      </c>
      <c r="F83" s="7" t="s">
        <v>478</v>
      </c>
    </row>
    <row r="84" customFormat="false" ht="15" hidden="false" customHeight="false" outlineLevel="0" collapsed="false">
      <c r="A84" s="6" t="s">
        <v>469</v>
      </c>
      <c r="B84" s="6" t="s">
        <v>298</v>
      </c>
      <c r="C84" s="6" t="s">
        <v>479</v>
      </c>
      <c r="D84" s="6" t="s">
        <v>476</v>
      </c>
      <c r="E84" s="6" t="s">
        <v>477</v>
      </c>
      <c r="F84" s="6" t="s">
        <v>480</v>
      </c>
    </row>
    <row r="85" customFormat="false" ht="15" hidden="false" customHeight="false" outlineLevel="0" collapsed="false">
      <c r="A85" s="7" t="s">
        <v>469</v>
      </c>
      <c r="B85" s="7" t="s">
        <v>298</v>
      </c>
      <c r="C85" s="7" t="s">
        <v>481</v>
      </c>
      <c r="D85" s="7" t="s">
        <v>476</v>
      </c>
      <c r="E85" s="7" t="s">
        <v>477</v>
      </c>
      <c r="F85" s="7" t="s">
        <v>482</v>
      </c>
    </row>
    <row r="86" customFormat="false" ht="15" hidden="false" customHeight="false" outlineLevel="0" collapsed="false">
      <c r="A86" s="6" t="s">
        <v>469</v>
      </c>
      <c r="B86" s="6" t="s">
        <v>298</v>
      </c>
      <c r="C86" s="6" t="s">
        <v>483</v>
      </c>
      <c r="D86" s="6" t="s">
        <v>310</v>
      </c>
      <c r="E86" s="6" t="s">
        <v>307</v>
      </c>
      <c r="F86" s="6" t="s">
        <v>484</v>
      </c>
    </row>
    <row r="87" customFormat="false" ht="15" hidden="false" customHeight="false" outlineLevel="0" collapsed="false">
      <c r="A87" s="7" t="s">
        <v>469</v>
      </c>
      <c r="B87" s="7" t="s">
        <v>325</v>
      </c>
      <c r="C87" s="7" t="s">
        <v>485</v>
      </c>
      <c r="D87" s="7" t="s">
        <v>310</v>
      </c>
      <c r="E87" s="7" t="s">
        <v>330</v>
      </c>
      <c r="F87" s="7" t="s">
        <v>486</v>
      </c>
    </row>
    <row r="88" customFormat="false" ht="15" hidden="false" customHeight="false" outlineLevel="0" collapsed="false">
      <c r="A88" s="6" t="s">
        <v>487</v>
      </c>
      <c r="B88" s="6" t="s">
        <v>325</v>
      </c>
      <c r="C88" s="6" t="s">
        <v>488</v>
      </c>
      <c r="D88" s="6" t="s">
        <v>279</v>
      </c>
      <c r="E88" s="6" t="s">
        <v>330</v>
      </c>
      <c r="F88" s="6" t="s">
        <v>489</v>
      </c>
    </row>
    <row r="89" customFormat="false" ht="15" hidden="false" customHeight="false" outlineLevel="0" collapsed="false">
      <c r="A89" s="7" t="s">
        <v>487</v>
      </c>
      <c r="B89" s="7" t="s">
        <v>329</v>
      </c>
      <c r="C89" s="7" t="s">
        <v>490</v>
      </c>
      <c r="D89" s="7" t="s">
        <v>279</v>
      </c>
      <c r="E89" s="7" t="s">
        <v>330</v>
      </c>
      <c r="F89" s="7" t="s">
        <v>491</v>
      </c>
    </row>
    <row r="90" customFormat="false" ht="15" hidden="false" customHeight="false" outlineLevel="0" collapsed="false">
      <c r="A90" s="6" t="s">
        <v>487</v>
      </c>
      <c r="B90" s="6" t="s">
        <v>325</v>
      </c>
      <c r="C90" s="6" t="s">
        <v>492</v>
      </c>
      <c r="D90" s="6" t="s">
        <v>279</v>
      </c>
      <c r="E90" s="6" t="s">
        <v>330</v>
      </c>
      <c r="F90" s="6" t="s">
        <v>493</v>
      </c>
    </row>
    <row r="91" customFormat="false" ht="15" hidden="false" customHeight="false" outlineLevel="0" collapsed="false">
      <c r="A91" s="7" t="s">
        <v>487</v>
      </c>
      <c r="B91" s="7" t="s">
        <v>298</v>
      </c>
      <c r="C91" s="7" t="s">
        <v>494</v>
      </c>
      <c r="D91" s="7" t="s">
        <v>279</v>
      </c>
      <c r="E91" s="7" t="s">
        <v>330</v>
      </c>
      <c r="F91" s="7" t="s">
        <v>495</v>
      </c>
    </row>
    <row r="92" customFormat="false" ht="15" hidden="false" customHeight="false" outlineLevel="0" collapsed="false">
      <c r="A92" s="6" t="s">
        <v>487</v>
      </c>
      <c r="B92" s="6" t="s">
        <v>298</v>
      </c>
      <c r="C92" s="6" t="s">
        <v>496</v>
      </c>
      <c r="D92" s="6" t="s">
        <v>279</v>
      </c>
      <c r="E92" s="6" t="s">
        <v>330</v>
      </c>
      <c r="F92" s="6" t="s">
        <v>497</v>
      </c>
    </row>
    <row r="93" customFormat="false" ht="15" hidden="false" customHeight="false" outlineLevel="0" collapsed="false">
      <c r="A93" s="7" t="s">
        <v>487</v>
      </c>
      <c r="B93" s="7" t="s">
        <v>325</v>
      </c>
      <c r="C93" s="7" t="s">
        <v>498</v>
      </c>
      <c r="D93" s="7" t="s">
        <v>279</v>
      </c>
      <c r="E93" s="7" t="s">
        <v>330</v>
      </c>
      <c r="F93" s="7" t="s">
        <v>499</v>
      </c>
    </row>
    <row r="94" customFormat="false" ht="15" hidden="false" customHeight="false" outlineLevel="0" collapsed="false">
      <c r="A94" s="6" t="s">
        <v>487</v>
      </c>
      <c r="B94" s="6" t="s">
        <v>298</v>
      </c>
      <c r="C94" s="6" t="s">
        <v>500</v>
      </c>
      <c r="D94" s="6" t="s">
        <v>279</v>
      </c>
      <c r="E94" s="6" t="s">
        <v>330</v>
      </c>
      <c r="F94" s="6" t="s">
        <v>501</v>
      </c>
    </row>
    <row r="95" customFormat="false" ht="15" hidden="false" customHeight="false" outlineLevel="0" collapsed="false">
      <c r="A95" s="7" t="s">
        <v>487</v>
      </c>
      <c r="B95" s="7" t="s">
        <v>325</v>
      </c>
      <c r="C95" s="7" t="s">
        <v>502</v>
      </c>
      <c r="D95" s="7" t="s">
        <v>279</v>
      </c>
      <c r="E95" s="7" t="s">
        <v>330</v>
      </c>
      <c r="F95" s="7" t="s">
        <v>503</v>
      </c>
    </row>
    <row r="96" customFormat="false" ht="15" hidden="false" customHeight="false" outlineLevel="0" collapsed="false">
      <c r="A96" s="6" t="s">
        <v>487</v>
      </c>
      <c r="B96" s="6" t="s">
        <v>325</v>
      </c>
      <c r="C96" s="6" t="s">
        <v>504</v>
      </c>
      <c r="D96" s="6" t="s">
        <v>279</v>
      </c>
      <c r="E96" s="6" t="s">
        <v>330</v>
      </c>
      <c r="F96" s="6" t="s">
        <v>505</v>
      </c>
    </row>
    <row r="97" customFormat="false" ht="15" hidden="false" customHeight="false" outlineLevel="0" collapsed="false">
      <c r="A97" s="7" t="s">
        <v>487</v>
      </c>
      <c r="B97" s="7" t="s">
        <v>298</v>
      </c>
      <c r="C97" s="7" t="s">
        <v>506</v>
      </c>
      <c r="D97" s="7" t="s">
        <v>279</v>
      </c>
      <c r="E97" s="7" t="s">
        <v>311</v>
      </c>
      <c r="F97" s="7" t="s">
        <v>507</v>
      </c>
    </row>
    <row r="98" customFormat="false" ht="15" hidden="false" customHeight="false" outlineLevel="0" collapsed="false">
      <c r="A98" s="6" t="s">
        <v>508</v>
      </c>
      <c r="B98" s="6" t="s">
        <v>325</v>
      </c>
      <c r="C98" s="6" t="s">
        <v>509</v>
      </c>
      <c r="D98" s="6" t="s">
        <v>310</v>
      </c>
      <c r="E98" s="6" t="s">
        <v>330</v>
      </c>
      <c r="F98" s="6" t="s">
        <v>510</v>
      </c>
    </row>
    <row r="99" customFormat="false" ht="15" hidden="false" customHeight="false" outlineLevel="0" collapsed="false">
      <c r="A99" s="7" t="s">
        <v>508</v>
      </c>
      <c r="B99" s="7" t="s">
        <v>329</v>
      </c>
      <c r="C99" s="7" t="s">
        <v>511</v>
      </c>
      <c r="D99" s="7" t="s">
        <v>310</v>
      </c>
      <c r="E99" s="7" t="s">
        <v>330</v>
      </c>
      <c r="F99" s="7" t="s">
        <v>512</v>
      </c>
    </row>
    <row r="100" customFormat="false" ht="15" hidden="false" customHeight="false" outlineLevel="0" collapsed="false">
      <c r="A100" s="6" t="s">
        <v>508</v>
      </c>
      <c r="B100" s="6" t="s">
        <v>298</v>
      </c>
      <c r="C100" s="6" t="s">
        <v>513</v>
      </c>
      <c r="D100" s="6" t="s">
        <v>310</v>
      </c>
      <c r="E100" s="6" t="s">
        <v>330</v>
      </c>
      <c r="F100" s="6" t="s">
        <v>514</v>
      </c>
    </row>
    <row r="101" customFormat="false" ht="15" hidden="false" customHeight="false" outlineLevel="0" collapsed="false">
      <c r="A101" s="7" t="s">
        <v>508</v>
      </c>
      <c r="B101" s="7" t="s">
        <v>298</v>
      </c>
      <c r="C101" s="7" t="s">
        <v>515</v>
      </c>
      <c r="D101" s="7" t="s">
        <v>310</v>
      </c>
      <c r="E101" s="7" t="s">
        <v>311</v>
      </c>
      <c r="F101" s="7" t="s">
        <v>516</v>
      </c>
    </row>
    <row r="102" customFormat="false" ht="15" hidden="false" customHeight="false" outlineLevel="0" collapsed="false">
      <c r="A102" s="6" t="s">
        <v>517</v>
      </c>
      <c r="B102" s="6" t="s">
        <v>325</v>
      </c>
      <c r="C102" s="6" t="s">
        <v>518</v>
      </c>
      <c r="D102" s="6" t="s">
        <v>300</v>
      </c>
      <c r="E102" s="6" t="s">
        <v>477</v>
      </c>
      <c r="F102" s="6" t="s">
        <v>519</v>
      </c>
    </row>
    <row r="103" customFormat="false" ht="15" hidden="false" customHeight="false" outlineLevel="0" collapsed="false">
      <c r="A103" s="7" t="s">
        <v>517</v>
      </c>
      <c r="B103" s="7" t="s">
        <v>325</v>
      </c>
      <c r="C103" s="7" t="s">
        <v>520</v>
      </c>
      <c r="D103" s="7" t="s">
        <v>300</v>
      </c>
      <c r="E103" s="7" t="s">
        <v>477</v>
      </c>
      <c r="F103" s="7" t="s">
        <v>521</v>
      </c>
    </row>
    <row r="104" customFormat="false" ht="15" hidden="false" customHeight="false" outlineLevel="0" collapsed="false">
      <c r="A104" s="6" t="s">
        <v>517</v>
      </c>
      <c r="B104" s="6" t="s">
        <v>325</v>
      </c>
      <c r="C104" s="6" t="s">
        <v>522</v>
      </c>
      <c r="D104" s="6" t="s">
        <v>300</v>
      </c>
      <c r="E104" s="6" t="s">
        <v>477</v>
      </c>
      <c r="F104" s="6" t="s">
        <v>523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" t="s">
        <v>524</v>
      </c>
      <c r="B1" s="1"/>
      <c r="C1" s="1"/>
      <c r="D1" s="1"/>
      <c r="E1" s="1"/>
    </row>
    <row r="3" customFormat="false" ht="15" hidden="false" customHeight="false" outlineLevel="0" collapsed="false">
      <c r="A3" s="5" t="s">
        <v>525</v>
      </c>
      <c r="B3" s="5" t="s">
        <v>526</v>
      </c>
      <c r="C3" s="5" t="s">
        <v>527</v>
      </c>
      <c r="D3" s="5" t="s">
        <v>528</v>
      </c>
      <c r="E3" s="5" t="s">
        <v>529</v>
      </c>
    </row>
    <row r="4" customFormat="false" ht="23.85" hidden="false" customHeight="false" outlineLevel="0" collapsed="false">
      <c r="A4" s="10" t="s">
        <v>530</v>
      </c>
      <c r="B4" s="6" t="s">
        <v>531</v>
      </c>
      <c r="C4" s="6" t="s">
        <v>532</v>
      </c>
      <c r="D4" s="6" t="s">
        <v>533</v>
      </c>
      <c r="E4" s="6" t="s">
        <v>534</v>
      </c>
    </row>
    <row r="5" customFormat="false" ht="35.05" hidden="false" customHeight="false" outlineLevel="0" collapsed="false">
      <c r="A5" s="11" t="s">
        <v>535</v>
      </c>
      <c r="B5" s="7" t="s">
        <v>536</v>
      </c>
      <c r="C5" s="7" t="s">
        <v>537</v>
      </c>
      <c r="D5" s="7" t="s">
        <v>538</v>
      </c>
      <c r="E5" s="7" t="s">
        <v>539</v>
      </c>
    </row>
    <row r="6" customFormat="false" ht="35.05" hidden="false" customHeight="false" outlineLevel="0" collapsed="false">
      <c r="A6" s="11" t="s">
        <v>535</v>
      </c>
      <c r="B6" s="6" t="s">
        <v>540</v>
      </c>
      <c r="C6" s="6" t="s">
        <v>541</v>
      </c>
      <c r="D6" s="6" t="s">
        <v>542</v>
      </c>
      <c r="E6" s="6" t="s">
        <v>543</v>
      </c>
    </row>
    <row r="7" customFormat="false" ht="23.85" hidden="false" customHeight="false" outlineLevel="0" collapsed="false">
      <c r="A7" s="11" t="s">
        <v>535</v>
      </c>
      <c r="B7" s="7" t="s">
        <v>544</v>
      </c>
      <c r="C7" s="7" t="s">
        <v>545</v>
      </c>
      <c r="D7" s="7" t="s">
        <v>546</v>
      </c>
      <c r="E7" s="7" t="s">
        <v>547</v>
      </c>
    </row>
    <row r="8" customFormat="false" ht="23.85" hidden="false" customHeight="false" outlineLevel="0" collapsed="false">
      <c r="A8" s="11" t="s">
        <v>535</v>
      </c>
      <c r="B8" s="6" t="s">
        <v>548</v>
      </c>
      <c r="C8" s="6" t="s">
        <v>437</v>
      </c>
      <c r="D8" s="6" t="s">
        <v>549</v>
      </c>
      <c r="E8" s="6" t="s">
        <v>550</v>
      </c>
    </row>
    <row r="9" customFormat="false" ht="23.85" hidden="false" customHeight="false" outlineLevel="0" collapsed="false">
      <c r="A9" s="11" t="s">
        <v>535</v>
      </c>
      <c r="B9" s="7" t="s">
        <v>551</v>
      </c>
      <c r="C9" s="7" t="s">
        <v>552</v>
      </c>
      <c r="D9" s="7" t="s">
        <v>553</v>
      </c>
      <c r="E9" s="7" t="s">
        <v>554</v>
      </c>
    </row>
    <row r="10" customFormat="false" ht="23.85" hidden="false" customHeight="false" outlineLevel="0" collapsed="false">
      <c r="A10" s="12" t="s">
        <v>555</v>
      </c>
      <c r="B10" s="6" t="s">
        <v>556</v>
      </c>
      <c r="C10" s="6" t="s">
        <v>557</v>
      </c>
      <c r="D10" s="6" t="s">
        <v>558</v>
      </c>
      <c r="E10" s="6" t="s">
        <v>559</v>
      </c>
    </row>
    <row r="11" customFormat="false" ht="23.85" hidden="false" customHeight="false" outlineLevel="0" collapsed="false">
      <c r="A11" s="12" t="s">
        <v>555</v>
      </c>
      <c r="B11" s="7" t="s">
        <v>560</v>
      </c>
      <c r="C11" s="7" t="s">
        <v>561</v>
      </c>
      <c r="D11" s="7" t="s">
        <v>562</v>
      </c>
      <c r="E11" s="7" t="s">
        <v>563</v>
      </c>
    </row>
    <row r="12" customFormat="false" ht="23.85" hidden="false" customHeight="false" outlineLevel="0" collapsed="false">
      <c r="A12" s="12" t="s">
        <v>555</v>
      </c>
      <c r="B12" s="6" t="s">
        <v>564</v>
      </c>
      <c r="C12" s="6" t="s">
        <v>565</v>
      </c>
      <c r="D12" s="6" t="s">
        <v>566</v>
      </c>
      <c r="E12" s="6" t="s">
        <v>567</v>
      </c>
    </row>
    <row r="13" customFormat="false" ht="15" hidden="false" customHeight="false" outlineLevel="0" collapsed="false">
      <c r="A13" s="12" t="s">
        <v>555</v>
      </c>
      <c r="B13" s="7" t="s">
        <v>568</v>
      </c>
      <c r="C13" s="7" t="s">
        <v>569</v>
      </c>
      <c r="D13" s="7" t="s">
        <v>570</v>
      </c>
      <c r="E13" s="7" t="s">
        <v>571</v>
      </c>
    </row>
    <row r="14" customFormat="false" ht="15" hidden="false" customHeight="false" outlineLevel="0" collapsed="false">
      <c r="A14" s="12" t="s">
        <v>555</v>
      </c>
      <c r="B14" s="6" t="s">
        <v>572</v>
      </c>
      <c r="C14" s="6" t="s">
        <v>573</v>
      </c>
      <c r="D14" s="6" t="s">
        <v>574</v>
      </c>
      <c r="E14" s="6" t="s">
        <v>575</v>
      </c>
    </row>
    <row r="15" customFormat="false" ht="23.85" hidden="false" customHeight="false" outlineLevel="0" collapsed="false">
      <c r="A15" s="12" t="s">
        <v>555</v>
      </c>
      <c r="B15" s="7" t="s">
        <v>576</v>
      </c>
      <c r="C15" s="7" t="s">
        <v>577</v>
      </c>
      <c r="D15" s="7" t="s">
        <v>578</v>
      </c>
      <c r="E15" s="7" t="s">
        <v>579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1" t="s">
        <v>580</v>
      </c>
      <c r="B1" s="1"/>
      <c r="C1" s="1"/>
      <c r="D1" s="1"/>
    </row>
    <row r="3" customFormat="false" ht="26.85" hidden="false" customHeight="false" outlineLevel="0" collapsed="false">
      <c r="A3" s="5" t="s">
        <v>581</v>
      </c>
      <c r="B3" s="5" t="s">
        <v>582</v>
      </c>
      <c r="C3" s="5" t="s">
        <v>583</v>
      </c>
      <c r="D3" s="5" t="s">
        <v>584</v>
      </c>
    </row>
    <row r="4" customFormat="false" ht="15" hidden="false" customHeight="false" outlineLevel="0" collapsed="false">
      <c r="A4" s="6" t="s">
        <v>585</v>
      </c>
      <c r="B4" s="6" t="s">
        <v>586</v>
      </c>
      <c r="C4" s="13" t="n">
        <v>6</v>
      </c>
      <c r="D4" s="13" t="n">
        <v>80</v>
      </c>
    </row>
    <row r="5" customFormat="false" ht="15" hidden="false" customHeight="false" outlineLevel="0" collapsed="false">
      <c r="A5" s="7" t="s">
        <v>585</v>
      </c>
      <c r="B5" s="7" t="s">
        <v>587</v>
      </c>
      <c r="C5" s="14" t="n">
        <v>25</v>
      </c>
      <c r="D5" s="14" t="n">
        <v>150</v>
      </c>
    </row>
    <row r="6" customFormat="false" ht="15" hidden="false" customHeight="false" outlineLevel="0" collapsed="false">
      <c r="A6" s="6" t="s">
        <v>585</v>
      </c>
      <c r="B6" s="6" t="s">
        <v>588</v>
      </c>
      <c r="C6" s="13" t="n">
        <v>5</v>
      </c>
      <c r="D6" s="13" t="n">
        <v>30</v>
      </c>
    </row>
    <row r="7" customFormat="false" ht="15" hidden="false" customHeight="false" outlineLevel="0" collapsed="false">
      <c r="A7" s="7" t="s">
        <v>585</v>
      </c>
      <c r="B7" s="7" t="s">
        <v>589</v>
      </c>
      <c r="C7" s="14" t="n">
        <v>7</v>
      </c>
      <c r="D7" s="14" t="n">
        <v>40</v>
      </c>
    </row>
    <row r="8" customFormat="false" ht="15" hidden="false" customHeight="false" outlineLevel="0" collapsed="false">
      <c r="A8" s="6" t="s">
        <v>585</v>
      </c>
      <c r="B8" s="6" t="s">
        <v>590</v>
      </c>
      <c r="C8" s="13" t="n">
        <v>0</v>
      </c>
      <c r="D8" s="13" t="n">
        <v>20</v>
      </c>
    </row>
    <row r="9" customFormat="false" ht="15" hidden="false" customHeight="false" outlineLevel="0" collapsed="false">
      <c r="A9" s="7" t="s">
        <v>585</v>
      </c>
      <c r="B9" s="7" t="s">
        <v>591</v>
      </c>
      <c r="C9" s="14" t="n">
        <v>0</v>
      </c>
      <c r="D9" s="14" t="n">
        <v>50</v>
      </c>
    </row>
    <row r="10" customFormat="false" ht="15" hidden="false" customHeight="false" outlineLevel="0" collapsed="false">
      <c r="A10" s="6" t="s">
        <v>585</v>
      </c>
      <c r="B10" s="6" t="s">
        <v>592</v>
      </c>
      <c r="C10" s="13" t="n">
        <v>0</v>
      </c>
      <c r="D10" s="13" t="n">
        <v>0</v>
      </c>
    </row>
    <row r="11" customFormat="false" ht="15" hidden="false" customHeight="false" outlineLevel="0" collapsed="false">
      <c r="A11" s="7" t="s">
        <v>382</v>
      </c>
      <c r="B11" s="7" t="s">
        <v>593</v>
      </c>
      <c r="C11" s="14" t="n">
        <v>300</v>
      </c>
      <c r="D11" s="14" t="n">
        <v>2800</v>
      </c>
    </row>
    <row r="12" customFormat="false" ht="15" hidden="false" customHeight="false" outlineLevel="0" collapsed="false">
      <c r="A12" s="6" t="s">
        <v>382</v>
      </c>
      <c r="B12" s="6" t="s">
        <v>594</v>
      </c>
      <c r="C12" s="13" t="n">
        <v>10</v>
      </c>
      <c r="D12" s="13" t="n">
        <v>80</v>
      </c>
    </row>
    <row r="13" customFormat="false" ht="15" hidden="false" customHeight="false" outlineLevel="0" collapsed="false">
      <c r="A13" s="7" t="s">
        <v>595</v>
      </c>
      <c r="B13" s="7" t="s">
        <v>596</v>
      </c>
      <c r="C13" s="14" t="n">
        <v>15</v>
      </c>
      <c r="D13" s="14" t="n">
        <v>120</v>
      </c>
    </row>
    <row r="14" customFormat="false" ht="15" hidden="false" customHeight="false" outlineLevel="0" collapsed="false">
      <c r="A14" s="6" t="s">
        <v>595</v>
      </c>
      <c r="B14" s="6" t="s">
        <v>597</v>
      </c>
      <c r="C14" s="13" t="n">
        <v>0</v>
      </c>
      <c r="D14" s="13" t="n">
        <v>25</v>
      </c>
    </row>
    <row r="15" customFormat="false" ht="15" hidden="false" customHeight="false" outlineLevel="0" collapsed="false">
      <c r="A15" s="7" t="s">
        <v>598</v>
      </c>
      <c r="B15" s="7" t="s">
        <v>599</v>
      </c>
      <c r="C15" s="14" t="n">
        <v>0</v>
      </c>
      <c r="D15" s="14" t="n">
        <v>80</v>
      </c>
    </row>
    <row r="16" customFormat="false" ht="15" hidden="false" customHeight="false" outlineLevel="0" collapsed="false">
      <c r="A16" s="6" t="s">
        <v>600</v>
      </c>
      <c r="B16" s="6" t="s">
        <v>601</v>
      </c>
      <c r="C16" s="13" t="n">
        <v>0</v>
      </c>
      <c r="D16" s="13" t="n">
        <v>400</v>
      </c>
    </row>
    <row r="17" customFormat="false" ht="15" hidden="false" customHeight="false" outlineLevel="0" collapsed="false">
      <c r="A17" s="7" t="s">
        <v>602</v>
      </c>
      <c r="B17" s="7" t="s">
        <v>603</v>
      </c>
      <c r="C17" s="14" t="n">
        <v>100</v>
      </c>
      <c r="D17" s="14" t="n">
        <v>2000</v>
      </c>
    </row>
    <row r="18" customFormat="false" ht="15" hidden="false" customHeight="false" outlineLevel="0" collapsed="false">
      <c r="A18" s="6" t="s">
        <v>604</v>
      </c>
      <c r="B18" s="6" t="s">
        <v>605</v>
      </c>
      <c r="C18" s="13" t="n">
        <v>0</v>
      </c>
      <c r="D18" s="13" t="n">
        <v>1500</v>
      </c>
    </row>
    <row r="19" customFormat="false" ht="15" hidden="false" customHeight="false" outlineLevel="0" collapsed="false">
      <c r="A19" s="7" t="s">
        <v>604</v>
      </c>
      <c r="B19" s="7" t="s">
        <v>606</v>
      </c>
      <c r="C19" s="14" t="n">
        <v>0</v>
      </c>
      <c r="D19" s="14" t="n">
        <v>1000</v>
      </c>
    </row>
    <row r="20" customFormat="false" ht="15" hidden="false" customHeight="false" outlineLevel="0" collapsed="false">
      <c r="A20" s="6" t="s">
        <v>604</v>
      </c>
      <c r="B20" s="6" t="s">
        <v>607</v>
      </c>
      <c r="C20" s="13" t="n">
        <v>100</v>
      </c>
      <c r="D20" s="13" t="n">
        <v>300</v>
      </c>
    </row>
    <row r="21" customFormat="false" ht="15" hidden="false" customHeight="false" outlineLevel="0" collapsed="false">
      <c r="A21" s="7" t="s">
        <v>608</v>
      </c>
      <c r="B21" s="7" t="s">
        <v>609</v>
      </c>
      <c r="C21" s="14" t="n">
        <v>5</v>
      </c>
      <c r="D21" s="14" t="n">
        <v>30</v>
      </c>
    </row>
    <row r="22" customFormat="false" ht="15" hidden="false" customHeight="false" outlineLevel="0" collapsed="false">
      <c r="A22" s="15" t="s">
        <v>610</v>
      </c>
      <c r="B22" s="15" t="s">
        <v>53</v>
      </c>
      <c r="C22" s="16" t="n">
        <f aca="false">SUM(C4:C21)</f>
        <v>573</v>
      </c>
      <c r="D22" s="16" t="n">
        <f aca="false">SUM(D4:D21)</f>
        <v>8705</v>
      </c>
    </row>
    <row r="24" customFormat="false" ht="15" hidden="false" customHeight="false" outlineLevel="0" collapsed="false">
      <c r="B24" s="2" t="s">
        <v>611</v>
      </c>
      <c r="C24" s="17" t="n">
        <f aca="false">C22*12</f>
        <v>6876</v>
      </c>
    </row>
    <row r="25" customFormat="false" ht="15" hidden="false" customHeight="false" outlineLevel="0" collapsed="false">
      <c r="B25" s="2" t="s">
        <v>612</v>
      </c>
      <c r="C25" s="17" t="n">
        <f aca="false">D22*12</f>
        <v>104460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6" topLeftCell="B27" activePane="bottomRight" state="frozen"/>
      <selection pane="topLeft" activeCell="A1" activeCellId="0" sqref="A1"/>
      <selection pane="topRight" activeCell="B1" activeCellId="0" sqref="B1"/>
      <selection pane="bottomLeft" activeCell="A27" activeCellId="0" sqref="A2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2"/>
  </cols>
  <sheetData>
    <row r="1" customFormat="false" ht="27.75" hidden="false" customHeight="true" outlineLevel="0" collapsed="false">
      <c r="A1" s="1" t="s">
        <v>613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8" t="s">
        <v>614</v>
      </c>
    </row>
    <row r="4" customFormat="false" ht="15" hidden="false" customHeight="false" outlineLevel="0" collapsed="false">
      <c r="A4" s="19" t="s">
        <v>615</v>
      </c>
      <c r="B4" s="20" t="n">
        <v>200</v>
      </c>
    </row>
    <row r="5" customFormat="false" ht="15" hidden="false" customHeight="false" outlineLevel="0" collapsed="false">
      <c r="A5" s="19" t="s">
        <v>616</v>
      </c>
      <c r="B5" s="21" t="n">
        <v>0.45</v>
      </c>
    </row>
    <row r="6" customFormat="false" ht="15" hidden="false" customHeight="false" outlineLevel="0" collapsed="false">
      <c r="A6" s="19" t="s">
        <v>617</v>
      </c>
      <c r="B6" s="21" t="n">
        <v>0.04</v>
      </c>
    </row>
    <row r="7" customFormat="false" ht="15" hidden="false" customHeight="false" outlineLevel="0" collapsed="false">
      <c r="A7" s="19" t="s">
        <v>618</v>
      </c>
      <c r="B7" s="22" t="n">
        <v>29000</v>
      </c>
    </row>
    <row r="8" customFormat="false" ht="15" hidden="false" customHeight="false" outlineLevel="0" collapsed="false">
      <c r="A8" s="19" t="s">
        <v>619</v>
      </c>
      <c r="B8" s="22" t="n">
        <v>199000</v>
      </c>
    </row>
    <row r="9" customFormat="false" ht="15" hidden="false" customHeight="false" outlineLevel="0" collapsed="false">
      <c r="A9" s="19" t="s">
        <v>620</v>
      </c>
      <c r="B9" s="21" t="n">
        <v>0.2</v>
      </c>
    </row>
    <row r="10" customFormat="false" ht="15" hidden="false" customHeight="false" outlineLevel="0" collapsed="false">
      <c r="A10" s="19" t="s">
        <v>621</v>
      </c>
      <c r="B10" s="20" t="n">
        <v>50</v>
      </c>
    </row>
    <row r="11" customFormat="false" ht="15" hidden="false" customHeight="false" outlineLevel="0" collapsed="false">
      <c r="A11" s="19" t="s">
        <v>622</v>
      </c>
      <c r="B11" s="22" t="n">
        <v>99000</v>
      </c>
    </row>
    <row r="12" customFormat="false" ht="15" hidden="false" customHeight="false" outlineLevel="0" collapsed="false">
      <c r="A12" s="19" t="s">
        <v>623</v>
      </c>
      <c r="B12" s="20" t="n">
        <v>20</v>
      </c>
    </row>
    <row r="13" customFormat="false" ht="15" hidden="false" customHeight="false" outlineLevel="0" collapsed="false">
      <c r="A13" s="19" t="s">
        <v>624</v>
      </c>
      <c r="B13" s="20" t="n">
        <v>100</v>
      </c>
    </row>
    <row r="14" customFormat="false" ht="15" hidden="false" customHeight="false" outlineLevel="0" collapsed="false">
      <c r="A14" s="19" t="s">
        <v>625</v>
      </c>
      <c r="B14" s="22" t="n">
        <v>990000</v>
      </c>
    </row>
    <row r="15" customFormat="false" ht="15" hidden="false" customHeight="false" outlineLevel="0" collapsed="false">
      <c r="A15" s="19" t="s">
        <v>626</v>
      </c>
      <c r="B15" s="22" t="n">
        <v>9000</v>
      </c>
    </row>
    <row r="16" customFormat="false" ht="15" hidden="false" customHeight="false" outlineLevel="0" collapsed="false">
      <c r="A16" s="19" t="s">
        <v>627</v>
      </c>
      <c r="B16" s="21" t="n">
        <v>0.05</v>
      </c>
    </row>
    <row r="17" customFormat="false" ht="15" hidden="false" customHeight="false" outlineLevel="0" collapsed="false">
      <c r="A17" s="19" t="s">
        <v>628</v>
      </c>
      <c r="B17" s="22" t="n">
        <v>30000</v>
      </c>
    </row>
    <row r="18" customFormat="false" ht="15" hidden="false" customHeight="false" outlineLevel="0" collapsed="false">
      <c r="A18" s="19" t="s">
        <v>629</v>
      </c>
      <c r="B18" s="20" t="n">
        <v>500</v>
      </c>
    </row>
    <row r="19" customFormat="false" ht="15" hidden="false" customHeight="false" outlineLevel="0" collapsed="false">
      <c r="A19" s="19" t="s">
        <v>630</v>
      </c>
      <c r="B19" s="22" t="n">
        <v>50000</v>
      </c>
    </row>
    <row r="20" customFormat="false" ht="15" hidden="false" customHeight="false" outlineLevel="0" collapsed="false">
      <c r="A20" s="19" t="s">
        <v>631</v>
      </c>
      <c r="B20" s="21" t="n">
        <v>0.3</v>
      </c>
    </row>
    <row r="21" customFormat="false" ht="15" hidden="false" customHeight="false" outlineLevel="0" collapsed="false">
      <c r="A21" s="19" t="s">
        <v>632</v>
      </c>
      <c r="B21" s="20" t="n">
        <v>10</v>
      </c>
    </row>
    <row r="22" customFormat="false" ht="15" hidden="false" customHeight="false" outlineLevel="0" collapsed="false">
      <c r="A22" s="19" t="s">
        <v>633</v>
      </c>
      <c r="B22" s="22" t="n">
        <v>12500</v>
      </c>
    </row>
    <row r="25" customFormat="false" ht="15" hidden="false" customHeight="false" outlineLevel="0" collapsed="false">
      <c r="A25" s="18" t="s">
        <v>634</v>
      </c>
    </row>
    <row r="26" customFormat="false" ht="15" hidden="false" customHeight="false" outlineLevel="0" collapsed="false">
      <c r="A26" s="5" t="s">
        <v>635</v>
      </c>
      <c r="B26" s="5" t="s">
        <v>636</v>
      </c>
      <c r="C26" s="5" t="s">
        <v>637</v>
      </c>
      <c r="D26" s="5" t="s">
        <v>638</v>
      </c>
      <c r="E26" s="5" t="s">
        <v>639</v>
      </c>
      <c r="F26" s="5" t="s">
        <v>640</v>
      </c>
      <c r="G26" s="5" t="s">
        <v>641</v>
      </c>
      <c r="H26" s="5" t="s">
        <v>642</v>
      </c>
      <c r="I26" s="5" t="s">
        <v>643</v>
      </c>
      <c r="J26" s="5" t="s">
        <v>644</v>
      </c>
      <c r="K26" s="5" t="s">
        <v>645</v>
      </c>
      <c r="L26" s="5" t="s">
        <v>646</v>
      </c>
      <c r="M26" s="5" t="s">
        <v>647</v>
      </c>
    </row>
    <row r="27" customFormat="false" ht="15" hidden="false" customHeight="false" outlineLevel="0" collapsed="false">
      <c r="A27" s="6" t="s">
        <v>648</v>
      </c>
      <c r="B27" s="23" t="n">
        <f aca="false">B4</f>
        <v>200</v>
      </c>
      <c r="C27" s="23" t="n">
        <f aca="false">B27*(1+$B$5)</f>
        <v>290</v>
      </c>
      <c r="D27" s="23" t="n">
        <f aca="false">C27*(1+$B$5)</f>
        <v>420.5</v>
      </c>
      <c r="E27" s="23" t="n">
        <f aca="false">D27*(1+$B$5)</f>
        <v>609.725</v>
      </c>
      <c r="F27" s="23" t="n">
        <f aca="false">E27*(1+$B$5)</f>
        <v>884.10125</v>
      </c>
      <c r="G27" s="23" t="n">
        <f aca="false">F27*(1+$B$5)</f>
        <v>1281.9468125</v>
      </c>
      <c r="H27" s="23" t="n">
        <f aca="false">G27*(1+$B$5)</f>
        <v>1858.822878125</v>
      </c>
      <c r="I27" s="23" t="n">
        <f aca="false">H27*(1+$B$5)</f>
        <v>2695.29317328125</v>
      </c>
      <c r="J27" s="23" t="n">
        <f aca="false">I27*(1+$B$5)</f>
        <v>3908.17510125781</v>
      </c>
      <c r="K27" s="23" t="n">
        <f aca="false">J27*(1+$B$5)</f>
        <v>5666.85389682383</v>
      </c>
      <c r="L27" s="23" t="n">
        <f aca="false">K27*(1+$B$5)</f>
        <v>8216.93815039455</v>
      </c>
      <c r="M27" s="23" t="n">
        <f aca="false">L27*(1+$B$5)</f>
        <v>11914.5603180721</v>
      </c>
    </row>
    <row r="28" customFormat="false" ht="15" hidden="false" customHeight="false" outlineLevel="0" collapsed="false">
      <c r="A28" s="6" t="s">
        <v>649</v>
      </c>
      <c r="B28" s="23" t="n">
        <f aca="false">B27*$B$6</f>
        <v>8</v>
      </c>
      <c r="C28" s="23" t="n">
        <f aca="false">C27*$B$6</f>
        <v>11.6</v>
      </c>
      <c r="D28" s="23" t="n">
        <f aca="false">D27*$B$6</f>
        <v>16.82</v>
      </c>
      <c r="E28" s="23" t="n">
        <f aca="false">E27*$B$6</f>
        <v>24.389</v>
      </c>
      <c r="F28" s="23" t="n">
        <f aca="false">F27*$B$6</f>
        <v>35.36405</v>
      </c>
      <c r="G28" s="23" t="n">
        <f aca="false">G27*$B$6</f>
        <v>51.2778725</v>
      </c>
      <c r="H28" s="23" t="n">
        <f aca="false">H27*$B$6</f>
        <v>74.352915125</v>
      </c>
      <c r="I28" s="23" t="n">
        <f aca="false">I27*$B$6</f>
        <v>107.81172693125</v>
      </c>
      <c r="J28" s="23" t="n">
        <f aca="false">J27*$B$6</f>
        <v>156.327004050313</v>
      </c>
      <c r="K28" s="23" t="n">
        <f aca="false">K27*$B$6</f>
        <v>226.674155872953</v>
      </c>
      <c r="L28" s="23" t="n">
        <f aca="false">L27*$B$6</f>
        <v>328.677526015782</v>
      </c>
      <c r="M28" s="23" t="n">
        <f aca="false">M27*$B$6</f>
        <v>476.582412722884</v>
      </c>
    </row>
    <row r="29" customFormat="false" ht="15" hidden="false" customHeight="false" outlineLevel="0" collapsed="false">
      <c r="A29" s="6" t="s">
        <v>650</v>
      </c>
      <c r="B29" s="23" t="n">
        <f aca="false">B28*(1-$B$9)</f>
        <v>6.4</v>
      </c>
      <c r="C29" s="23" t="n">
        <f aca="false">C28*(1-$B$9)</f>
        <v>9.28</v>
      </c>
      <c r="D29" s="23" t="n">
        <f aca="false">D28*(1-$B$9)</f>
        <v>13.456</v>
      </c>
      <c r="E29" s="23" t="n">
        <f aca="false">E28*(1-$B$9)</f>
        <v>19.5112</v>
      </c>
      <c r="F29" s="23" t="n">
        <f aca="false">F28*(1-$B$9)</f>
        <v>28.29124</v>
      </c>
      <c r="G29" s="23" t="n">
        <f aca="false">G28*(1-$B$9)</f>
        <v>41.022298</v>
      </c>
      <c r="H29" s="23" t="n">
        <f aca="false">H28*(1-$B$9)</f>
        <v>59.4823321</v>
      </c>
      <c r="I29" s="23" t="n">
        <f aca="false">I28*(1-$B$9)</f>
        <v>86.249381545</v>
      </c>
      <c r="J29" s="23" t="n">
        <f aca="false">J28*(1-$B$9)</f>
        <v>125.06160324025</v>
      </c>
      <c r="K29" s="23" t="n">
        <f aca="false">K28*(1-$B$9)</f>
        <v>181.339324698362</v>
      </c>
      <c r="L29" s="23" t="n">
        <f aca="false">L28*(1-$B$9)</f>
        <v>262.942020812626</v>
      </c>
      <c r="M29" s="23" t="n">
        <f aca="false">M28*(1-$B$9)</f>
        <v>381.265930178307</v>
      </c>
    </row>
    <row r="30" customFormat="false" ht="15" hidden="false" customHeight="false" outlineLevel="0" collapsed="false">
      <c r="A30" s="6" t="s">
        <v>651</v>
      </c>
      <c r="B30" s="23" t="n">
        <f aca="false">B28*$B$9</f>
        <v>1.6</v>
      </c>
      <c r="C30" s="23" t="n">
        <f aca="false">C28*$B$9</f>
        <v>2.32</v>
      </c>
      <c r="D30" s="23" t="n">
        <f aca="false">D28*$B$9</f>
        <v>3.364</v>
      </c>
      <c r="E30" s="23" t="n">
        <f aca="false">E28*$B$9</f>
        <v>4.8778</v>
      </c>
      <c r="F30" s="23" t="n">
        <f aca="false">F28*$B$9</f>
        <v>7.07281</v>
      </c>
      <c r="G30" s="23" t="n">
        <f aca="false">G28*$B$9</f>
        <v>10.2555745</v>
      </c>
      <c r="H30" s="23" t="n">
        <f aca="false">H28*$B$9</f>
        <v>14.870583025</v>
      </c>
      <c r="I30" s="23" t="n">
        <f aca="false">I28*$B$9</f>
        <v>21.56234538625</v>
      </c>
      <c r="J30" s="23" t="n">
        <f aca="false">J28*$B$9</f>
        <v>31.2654008100625</v>
      </c>
      <c r="K30" s="23" t="n">
        <f aca="false">K28*$B$9</f>
        <v>45.3348311745906</v>
      </c>
      <c r="L30" s="23" t="n">
        <f aca="false">L28*$B$9</f>
        <v>65.7355052031564</v>
      </c>
      <c r="M30" s="23" t="n">
        <f aca="false">M28*$B$9</f>
        <v>95.3164825445768</v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5" hidden="false" customHeight="false" outlineLevel="0" collapsed="false">
      <c r="A32" s="6" t="s">
        <v>652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5" hidden="false" customHeight="false" outlineLevel="0" collapsed="false">
      <c r="A33" s="6" t="s">
        <v>653</v>
      </c>
      <c r="B33" s="24" t="n">
        <f aca="false">B30*$B$7/$B$22</f>
        <v>3.712</v>
      </c>
      <c r="C33" s="24" t="n">
        <f aca="false">C30*$B$7/$B$22</f>
        <v>5.3824</v>
      </c>
      <c r="D33" s="24" t="n">
        <f aca="false">D30*$B$7/$B$22</f>
        <v>7.80448</v>
      </c>
      <c r="E33" s="24" t="n">
        <f aca="false">E30*$B$7/$B$22</f>
        <v>11.316496</v>
      </c>
      <c r="F33" s="24" t="n">
        <f aca="false">F30*$B$7/$B$22</f>
        <v>16.4089192</v>
      </c>
      <c r="G33" s="24" t="n">
        <f aca="false">G30*$B$7/$B$22</f>
        <v>23.79293284</v>
      </c>
      <c r="H33" s="24" t="n">
        <f aca="false">H30*$B$7/$B$22</f>
        <v>34.499752618</v>
      </c>
      <c r="I33" s="24" t="n">
        <f aca="false">I30*$B$7/$B$22</f>
        <v>50.0246412961</v>
      </c>
      <c r="J33" s="24" t="n">
        <f aca="false">J30*$B$7/$B$22</f>
        <v>72.535729879345</v>
      </c>
      <c r="K33" s="24" t="n">
        <f aca="false">K30*$B$7/$B$22</f>
        <v>105.17680832505</v>
      </c>
      <c r="L33" s="24" t="n">
        <f aca="false">L30*$B$7/$B$22</f>
        <v>152.506372071323</v>
      </c>
      <c r="M33" s="24" t="n">
        <f aca="false">M30*$B$7/$B$22</f>
        <v>221.134239503418</v>
      </c>
    </row>
    <row r="34" customFormat="false" ht="15" hidden="false" customHeight="false" outlineLevel="0" collapsed="false">
      <c r="A34" s="6" t="s">
        <v>654</v>
      </c>
      <c r="B34" s="24" t="n">
        <f aca="false">B31*($B$8/12)/$B$22</f>
        <v>0</v>
      </c>
      <c r="C34" s="24" t="n">
        <f aca="false">C31*($B$8/12)/$B$22</f>
        <v>0</v>
      </c>
      <c r="D34" s="24" t="n">
        <f aca="false">D31*($B$8/12)/$B$22</f>
        <v>0</v>
      </c>
      <c r="E34" s="24" t="n">
        <f aca="false">E31*($B$8/12)/$B$22</f>
        <v>0</v>
      </c>
      <c r="F34" s="24" t="n">
        <f aca="false">F31*($B$8/12)/$B$22</f>
        <v>0</v>
      </c>
      <c r="G34" s="24" t="n">
        <f aca="false">G31*($B$8/12)/$B$22</f>
        <v>0</v>
      </c>
      <c r="H34" s="24" t="n">
        <f aca="false">H31*($B$8/12)/$B$22</f>
        <v>0</v>
      </c>
      <c r="I34" s="24" t="n">
        <f aca="false">I31*($B$8/12)/$B$22</f>
        <v>0</v>
      </c>
      <c r="J34" s="24" t="n">
        <f aca="false">J31*($B$8/12)/$B$22</f>
        <v>0</v>
      </c>
      <c r="K34" s="24" t="n">
        <f aca="false">K31*($B$8/12)/$B$22</f>
        <v>0</v>
      </c>
      <c r="L34" s="24" t="n">
        <f aca="false">L31*($B$8/12)/$B$22</f>
        <v>0</v>
      </c>
      <c r="M34" s="24" t="n">
        <f aca="false">M31*($B$8/12)/$B$22</f>
        <v>0</v>
      </c>
    </row>
    <row r="35" customFormat="false" ht="15" hidden="false" customHeight="false" outlineLevel="0" collapsed="false">
      <c r="A35" s="6" t="s">
        <v>655</v>
      </c>
      <c r="B35" s="24" t="n">
        <f aca="false">($B$10*(1/12))*$B$11/$B$22</f>
        <v>33</v>
      </c>
      <c r="C35" s="24" t="n">
        <f aca="false">($B$10*(2/12))*$B$11/$B$22</f>
        <v>66</v>
      </c>
      <c r="D35" s="24" t="n">
        <f aca="false">($B$10*(3/12))*$B$11/$B$22</f>
        <v>99</v>
      </c>
      <c r="E35" s="24" t="n">
        <f aca="false">($B$10*(4/12))*$B$11/$B$22</f>
        <v>132</v>
      </c>
      <c r="F35" s="24" t="n">
        <f aca="false">($B$10*(5/12))*$B$11/$B$22</f>
        <v>165</v>
      </c>
      <c r="G35" s="24" t="n">
        <f aca="false">($B$10*(6/12))*$B$11/$B$22</f>
        <v>198</v>
      </c>
      <c r="H35" s="24" t="n">
        <f aca="false">($B$10*(7/12))*$B$11/$B$22</f>
        <v>231</v>
      </c>
      <c r="I35" s="24" t="n">
        <f aca="false">($B$10*(8/12))*$B$11/$B$22</f>
        <v>264</v>
      </c>
      <c r="J35" s="24" t="n">
        <f aca="false">($B$10*(9/12))*$B$11/$B$22</f>
        <v>297</v>
      </c>
      <c r="K35" s="24" t="n">
        <f aca="false">($B$10*(10/12))*$B$11/$B$22</f>
        <v>330</v>
      </c>
      <c r="L35" s="24" t="n">
        <f aca="false">($B$10*(11/12))*$B$11/$B$22</f>
        <v>363</v>
      </c>
      <c r="M35" s="24" t="n">
        <f aca="false">($B$10*(12/12))*$B$11/$B$22</f>
        <v>396</v>
      </c>
    </row>
    <row r="36" customFormat="false" ht="15" hidden="false" customHeight="false" outlineLevel="0" collapsed="false">
      <c r="A36" s="6" t="s">
        <v>656</v>
      </c>
      <c r="B36" s="24" t="n">
        <f aca="false">($B$12*(1/12))*($B$14+$B$13*$B$15)/$B$22</f>
        <v>252</v>
      </c>
      <c r="C36" s="24" t="n">
        <f aca="false">($B$12*(2/12))*($B$14+$B$13*$B$15)/$B$22</f>
        <v>504</v>
      </c>
      <c r="D36" s="24" t="n">
        <f aca="false">($B$12*(3/12))*($B$14+$B$13*$B$15)/$B$22</f>
        <v>756</v>
      </c>
      <c r="E36" s="24" t="n">
        <f aca="false">($B$12*(4/12))*($B$14+$B$13*$B$15)/$B$22</f>
        <v>1008</v>
      </c>
      <c r="F36" s="24" t="n">
        <f aca="false">($B$12*(5/12))*($B$14+$B$13*$B$15)/$B$22</f>
        <v>1260</v>
      </c>
      <c r="G36" s="24" t="n">
        <f aca="false">($B$12*(6/12))*($B$14+$B$13*$B$15)/$B$22</f>
        <v>1512</v>
      </c>
      <c r="H36" s="24" t="n">
        <f aca="false">($B$12*(7/12))*($B$14+$B$13*$B$15)/$B$22</f>
        <v>1764</v>
      </c>
      <c r="I36" s="24" t="n">
        <f aca="false">($B$12*(8/12))*($B$14+$B$13*$B$15)/$B$22</f>
        <v>2016</v>
      </c>
      <c r="J36" s="24" t="n">
        <f aca="false">($B$12*(9/12))*($B$14+$B$13*$B$15)/$B$22</f>
        <v>2268</v>
      </c>
      <c r="K36" s="24" t="n">
        <f aca="false">($B$12*(10/12))*($B$14+$B$13*$B$15)/$B$22</f>
        <v>2520</v>
      </c>
      <c r="L36" s="24" t="n">
        <f aca="false">($B$12*(11/12))*($B$14+$B$13*$B$15)/$B$22</f>
        <v>2772</v>
      </c>
      <c r="M36" s="24" t="n">
        <f aca="false">($B$12*(12/12))*($B$14+$B$13*$B$15)/$B$22</f>
        <v>3024</v>
      </c>
    </row>
    <row r="37" customFormat="false" ht="15" hidden="false" customHeight="false" outlineLevel="0" collapsed="false">
      <c r="A37" s="6" t="s">
        <v>657</v>
      </c>
      <c r="B37" s="24" t="n">
        <f aca="false">B27*$B$16*$B$17/$B$22</f>
        <v>24</v>
      </c>
      <c r="C37" s="24" t="n">
        <f aca="false">C27*$B$16*$B$17/$B$22</f>
        <v>34.8</v>
      </c>
      <c r="D37" s="24" t="n">
        <f aca="false">D27*$B$16*$B$17/$B$22</f>
        <v>50.46</v>
      </c>
      <c r="E37" s="24" t="n">
        <f aca="false">E27*$B$16*$B$17/$B$22</f>
        <v>73.167</v>
      </c>
      <c r="F37" s="24" t="n">
        <f aca="false">F27*$B$16*$B$17/$B$22</f>
        <v>106.09215</v>
      </c>
      <c r="G37" s="24" t="n">
        <f aca="false">G27*$B$16*$B$17/$B$22</f>
        <v>153.8336175</v>
      </c>
      <c r="H37" s="24" t="n">
        <f aca="false">H27*$B$16*$B$17/$B$22</f>
        <v>223.058745375</v>
      </c>
      <c r="I37" s="24" t="n">
        <f aca="false">I27*$B$16*$B$17/$B$22</f>
        <v>323.43518079375</v>
      </c>
      <c r="J37" s="24" t="n">
        <f aca="false">J27*$B$16*$B$17/$B$22</f>
        <v>468.981012150938</v>
      </c>
      <c r="K37" s="24" t="n">
        <f aca="false">K27*$B$16*$B$17/$B$22</f>
        <v>680.022467618859</v>
      </c>
      <c r="L37" s="24" t="n">
        <f aca="false">L27*$B$16*$B$17/$B$22</f>
        <v>986.032578047346</v>
      </c>
      <c r="M37" s="24" t="n">
        <f aca="false">M27*$B$16*$B$17/$B$22</f>
        <v>1429.74723816865</v>
      </c>
    </row>
    <row r="38" customFormat="false" ht="15" hidden="false" customHeight="false" outlineLevel="0" collapsed="false">
      <c r="A38" s="6" t="s">
        <v>658</v>
      </c>
      <c r="B38" s="24" t="n">
        <f aca="false">($B$18*(1/12))*$B$19/$B$22</f>
        <v>166.666666666667</v>
      </c>
      <c r="C38" s="24" t="n">
        <f aca="false">($B$18*(2/12))*$B$19/$B$22</f>
        <v>333.333333333333</v>
      </c>
      <c r="D38" s="24" t="n">
        <f aca="false">($B$18*(3/12))*$B$19/$B$22</f>
        <v>500</v>
      </c>
      <c r="E38" s="24" t="n">
        <f aca="false">($B$18*(4/12))*$B$19/$B$22</f>
        <v>666.666666666667</v>
      </c>
      <c r="F38" s="24" t="n">
        <f aca="false">($B$18*(5/12))*$B$19/$B$22</f>
        <v>833.333333333334</v>
      </c>
      <c r="G38" s="24" t="n">
        <f aca="false">($B$18*(6/12))*$B$19/$B$22</f>
        <v>1000</v>
      </c>
      <c r="H38" s="24" t="n">
        <f aca="false">($B$18*(7/12))*$B$19/$B$22</f>
        <v>1166.66666666667</v>
      </c>
      <c r="I38" s="24" t="n">
        <f aca="false">($B$18*(8/12))*$B$19/$B$22</f>
        <v>1333.33333333333</v>
      </c>
      <c r="J38" s="24" t="n">
        <f aca="false">($B$18*(9/12))*$B$19/$B$22</f>
        <v>1500</v>
      </c>
      <c r="K38" s="24" t="n">
        <f aca="false">($B$18*(10/12))*$B$19/$B$22</f>
        <v>1666.66666666667</v>
      </c>
      <c r="L38" s="24" t="n">
        <f aca="false">($B$18*(11/12))*$B$19/$B$22</f>
        <v>1833.33333333333</v>
      </c>
      <c r="M38" s="24" t="n">
        <f aca="false">($B$18*(12/12))*$B$19/$B$22</f>
        <v>2000</v>
      </c>
    </row>
    <row r="39" customFormat="false" ht="15" hidden="false" customHeight="false" outlineLevel="0" collapsed="false">
      <c r="A39" s="6" t="s">
        <v>659</v>
      </c>
      <c r="B39" s="24" t="n">
        <f aca="false">(B27-B28)*$B$20/1000*$B$21</f>
        <v>0.576</v>
      </c>
      <c r="C39" s="24" t="n">
        <f aca="false">(C27-C28)*$B$20/1000*$B$21</f>
        <v>0.8352</v>
      </c>
      <c r="D39" s="24" t="n">
        <f aca="false">(D27-D28)*$B$20/1000*$B$21</f>
        <v>1.21104</v>
      </c>
      <c r="E39" s="24" t="n">
        <f aca="false">(E27-E28)*$B$20/1000*$B$21</f>
        <v>1.756008</v>
      </c>
      <c r="F39" s="24" t="n">
        <f aca="false">(F27-F28)*$B$20/1000*$B$21</f>
        <v>2.5462116</v>
      </c>
      <c r="G39" s="24" t="n">
        <f aca="false">(G27-G28)*$B$20/1000*$B$21</f>
        <v>3.69200682</v>
      </c>
      <c r="H39" s="24" t="n">
        <f aca="false">(H27-H28)*$B$20/1000*$B$21</f>
        <v>5.353409889</v>
      </c>
      <c r="I39" s="24" t="n">
        <f aca="false">(I27-I28)*$B$20/1000*$B$21</f>
        <v>7.76244433905</v>
      </c>
      <c r="J39" s="24" t="n">
        <f aca="false">(J27-J28)*$B$20/1000*$B$21</f>
        <v>11.2555442916225</v>
      </c>
      <c r="K39" s="24" t="n">
        <f aca="false">(K27-K28)*$B$20/1000*$B$21</f>
        <v>16.3205392228526</v>
      </c>
      <c r="L39" s="24" t="n">
        <f aca="false">(L27-L28)*$B$20/1000*$B$21</f>
        <v>23.6647818731363</v>
      </c>
      <c r="M39" s="24" t="n">
        <f aca="false">(M27-M28)*$B$20/1000*$B$21</f>
        <v>34.3139337160476</v>
      </c>
    </row>
    <row r="40" customFormat="false" ht="15" hidden="false" customHeight="false" outlineLevel="0" collapsed="false">
      <c r="A40" s="8" t="s">
        <v>660</v>
      </c>
      <c r="B40" s="25" t="n">
        <f aca="false">SUM(B34:B39)</f>
        <v>476.242666666667</v>
      </c>
      <c r="C40" s="25" t="n">
        <f aca="false">SUM(C34:C39)</f>
        <v>938.968533333333</v>
      </c>
      <c r="D40" s="25" t="n">
        <f aca="false">SUM(D34:D39)</f>
        <v>1406.67104</v>
      </c>
      <c r="E40" s="25" t="n">
        <f aca="false">SUM(E34:E39)</f>
        <v>1881.58967466667</v>
      </c>
      <c r="F40" s="25" t="n">
        <f aca="false">SUM(F34:F39)</f>
        <v>2366.97169493333</v>
      </c>
      <c r="G40" s="25" t="n">
        <f aca="false">SUM(G34:G39)</f>
        <v>2867.52562432</v>
      </c>
      <c r="H40" s="25" t="n">
        <f aca="false">SUM(H34:H39)</f>
        <v>3390.07882193067</v>
      </c>
      <c r="I40" s="25" t="n">
        <f aca="false">SUM(I34:I39)</f>
        <v>3944.53095846613</v>
      </c>
      <c r="J40" s="25" t="n">
        <f aca="false">SUM(J34:J39)</f>
        <v>4545.23655644256</v>
      </c>
      <c r="K40" s="25" t="n">
        <f aca="false">SUM(K34:K39)</f>
        <v>5213.00967350838</v>
      </c>
      <c r="L40" s="25" t="n">
        <f aca="false">SUM(L34:L39)</f>
        <v>5978.03069325382</v>
      </c>
      <c r="M40" s="25" t="n">
        <f aca="false">SUM(M34:M39)</f>
        <v>6884.0611718847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</cols>
  <sheetData>
    <row r="1" customFormat="false" ht="27.75" hidden="false" customHeight="true" outlineLevel="0" collapsed="false">
      <c r="A1" s="1" t="s">
        <v>661</v>
      </c>
      <c r="B1" s="1"/>
      <c r="C1" s="1"/>
      <c r="D1" s="1"/>
    </row>
    <row r="3" customFormat="false" ht="15" hidden="false" customHeight="false" outlineLevel="0" collapsed="false">
      <c r="A3" s="18" t="s">
        <v>662</v>
      </c>
    </row>
    <row r="4" customFormat="false" ht="15" hidden="false" customHeight="false" outlineLevel="0" collapsed="false">
      <c r="A4" s="19" t="s">
        <v>663</v>
      </c>
      <c r="B4" s="26" t="n">
        <v>0.15</v>
      </c>
    </row>
    <row r="5" customFormat="false" ht="15" hidden="false" customHeight="false" outlineLevel="0" collapsed="false">
      <c r="A5" s="19" t="s">
        <v>664</v>
      </c>
      <c r="B5" s="26" t="n">
        <v>0.6</v>
      </c>
    </row>
    <row r="6" customFormat="false" ht="15" hidden="false" customHeight="false" outlineLevel="0" collapsed="false">
      <c r="A6" s="19" t="s">
        <v>665</v>
      </c>
      <c r="B6" s="26" t="n">
        <v>0.02</v>
      </c>
    </row>
    <row r="7" customFormat="false" ht="15" hidden="false" customHeight="false" outlineLevel="0" collapsed="false">
      <c r="A7" s="19" t="s">
        <v>666</v>
      </c>
      <c r="B7" s="22" t="n">
        <v>30</v>
      </c>
    </row>
    <row r="8" customFormat="false" ht="15" hidden="false" customHeight="false" outlineLevel="0" collapsed="false">
      <c r="A8" s="19" t="s">
        <v>667</v>
      </c>
      <c r="B8" s="22" t="n">
        <v>800</v>
      </c>
    </row>
    <row r="9" customFormat="false" ht="15" hidden="false" customHeight="false" outlineLevel="0" collapsed="false">
      <c r="A9" s="19" t="s">
        <v>668</v>
      </c>
      <c r="B9" s="22" t="n">
        <v>300</v>
      </c>
    </row>
    <row r="10" customFormat="false" ht="15" hidden="false" customHeight="false" outlineLevel="0" collapsed="false">
      <c r="A10" s="19" t="s">
        <v>669</v>
      </c>
      <c r="B10" s="22" t="n">
        <v>5</v>
      </c>
    </row>
    <row r="11" customFormat="false" ht="15" hidden="false" customHeight="false" outlineLevel="0" collapsed="false">
      <c r="A11" s="19" t="s">
        <v>670</v>
      </c>
      <c r="B11" s="22" t="n">
        <v>3000</v>
      </c>
    </row>
    <row r="12" customFormat="false" ht="15" hidden="false" customHeight="false" outlineLevel="0" collapsed="false">
      <c r="A12" s="19" t="s">
        <v>671</v>
      </c>
      <c r="B12" s="22" t="n">
        <v>1500</v>
      </c>
    </row>
    <row r="13" customFormat="false" ht="15" hidden="false" customHeight="false" outlineLevel="0" collapsed="false">
      <c r="A13" s="19" t="s">
        <v>672</v>
      </c>
      <c r="B13" s="22" t="n">
        <v>100000</v>
      </c>
    </row>
    <row r="14" customFormat="false" ht="15" hidden="false" customHeight="false" outlineLevel="0" collapsed="false">
      <c r="A14" s="19" t="s">
        <v>673</v>
      </c>
      <c r="B14" s="26" t="n">
        <v>0.2</v>
      </c>
    </row>
    <row r="17" customFormat="false" ht="15" hidden="false" customHeight="false" outlineLevel="0" collapsed="false">
      <c r="A17" s="18" t="s">
        <v>674</v>
      </c>
    </row>
    <row r="18" customFormat="false" ht="15" hidden="false" customHeight="false" outlineLevel="0" collapsed="false">
      <c r="A18" s="19" t="s">
        <v>675</v>
      </c>
      <c r="B18" s="27" t="n">
        <f aca="false">B7*B8/1000000*B4</f>
        <v>0.0036</v>
      </c>
    </row>
    <row r="19" customFormat="false" ht="15" hidden="false" customHeight="false" outlineLevel="0" collapsed="false">
      <c r="A19" s="19" t="s">
        <v>676</v>
      </c>
      <c r="B19" s="27" t="n">
        <f aca="false">B7*B9/1000000*B5</f>
        <v>0.0054</v>
      </c>
    </row>
    <row r="20" customFormat="false" ht="15" hidden="false" customHeight="false" outlineLevel="0" collapsed="false">
      <c r="A20" s="19" t="s">
        <v>677</v>
      </c>
      <c r="B20" s="27" t="n">
        <f aca="false">B10*B11/1000000*B4</f>
        <v>0.00225</v>
      </c>
    </row>
    <row r="21" customFormat="false" ht="15" hidden="false" customHeight="false" outlineLevel="0" collapsed="false">
      <c r="A21" s="19" t="s">
        <v>678</v>
      </c>
      <c r="B21" s="27" t="n">
        <f aca="false">B10*B12/1000000*B5</f>
        <v>0.0045</v>
      </c>
    </row>
    <row r="22" customFormat="false" ht="15" hidden="false" customHeight="false" outlineLevel="0" collapsed="false">
      <c r="A22" s="19" t="s">
        <v>679</v>
      </c>
      <c r="B22" s="27" t="n">
        <f aca="false">B13*B14/30/1000000*B6</f>
        <v>1.33333333333333E-005</v>
      </c>
    </row>
    <row r="23" customFormat="false" ht="15" hidden="false" customHeight="false" outlineLevel="0" collapsed="false">
      <c r="A23" s="2" t="s">
        <v>680</v>
      </c>
      <c r="B23" s="28" t="n">
        <f aca="false">SUM(B18:B22)</f>
        <v>0.0157633333333333</v>
      </c>
    </row>
    <row r="24" customFormat="false" ht="15" hidden="false" customHeight="false" outlineLevel="0" collapsed="false">
      <c r="A24" s="2" t="s">
        <v>681</v>
      </c>
      <c r="B24" s="29" t="n">
        <f aca="false">B23*30</f>
        <v>0.4729</v>
      </c>
    </row>
    <row r="26" customFormat="false" ht="15" hidden="false" customHeight="false" outlineLevel="0" collapsed="false">
      <c r="A26" s="0" t="s">
        <v>682</v>
      </c>
      <c r="B26" s="30" t="n">
        <v>2.3</v>
      </c>
    </row>
    <row r="27" customFormat="false" ht="15" hidden="false" customHeight="false" outlineLevel="0" collapsed="false">
      <c r="A27" s="2" t="s">
        <v>683</v>
      </c>
      <c r="B27" s="31" t="n">
        <f aca="false">(B26-B24)/B26</f>
        <v>0.794391304347826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14"/>
    <col collapsed="false" customWidth="true" hidden="false" outlineLevel="0" max="6" min="6" style="0" width="60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5" t="s">
        <v>684</v>
      </c>
      <c r="B3" s="5" t="s">
        <v>685</v>
      </c>
      <c r="C3" s="5" t="s">
        <v>581</v>
      </c>
      <c r="D3" s="5" t="s">
        <v>686</v>
      </c>
      <c r="E3" s="5" t="s">
        <v>687</v>
      </c>
      <c r="F3" s="5" t="s">
        <v>688</v>
      </c>
      <c r="G3" s="32" t="s">
        <v>689</v>
      </c>
    </row>
    <row r="4" customFormat="false" ht="23.85" hidden="false" customHeight="false" outlineLevel="0" collapsed="false">
      <c r="A4" s="6" t="n">
        <v>1</v>
      </c>
      <c r="B4" s="6" t="s">
        <v>690</v>
      </c>
      <c r="C4" s="6" t="s">
        <v>691</v>
      </c>
      <c r="D4" s="6" t="n">
        <v>4</v>
      </c>
      <c r="E4" s="6" t="n">
        <v>5</v>
      </c>
      <c r="F4" s="6" t="s">
        <v>692</v>
      </c>
      <c r="G4" s="6" t="n">
        <f aca="false">D4*E4</f>
        <v>20</v>
      </c>
    </row>
    <row r="5" customFormat="false" ht="23.85" hidden="false" customHeight="false" outlineLevel="0" collapsed="false">
      <c r="A5" s="7" t="n">
        <v>2</v>
      </c>
      <c r="B5" s="7" t="s">
        <v>693</v>
      </c>
      <c r="C5" s="7" t="s">
        <v>694</v>
      </c>
      <c r="D5" s="7" t="n">
        <v>3</v>
      </c>
      <c r="E5" s="7" t="n">
        <v>4</v>
      </c>
      <c r="F5" s="7" t="s">
        <v>695</v>
      </c>
      <c r="G5" s="7" t="n">
        <f aca="false">D5*E5</f>
        <v>12</v>
      </c>
    </row>
    <row r="6" customFormat="false" ht="15" hidden="false" customHeight="false" outlineLevel="0" collapsed="false">
      <c r="A6" s="6" t="n">
        <v>3</v>
      </c>
      <c r="B6" s="6" t="s">
        <v>696</v>
      </c>
      <c r="C6" s="6" t="s">
        <v>697</v>
      </c>
      <c r="D6" s="6" t="n">
        <v>3</v>
      </c>
      <c r="E6" s="6" t="n">
        <v>4</v>
      </c>
      <c r="F6" s="6" t="s">
        <v>698</v>
      </c>
      <c r="G6" s="6" t="n">
        <f aca="false">D6*E6</f>
        <v>12</v>
      </c>
    </row>
    <row r="7" customFormat="false" ht="15" hidden="false" customHeight="false" outlineLevel="0" collapsed="false">
      <c r="A7" s="7" t="n">
        <v>4</v>
      </c>
      <c r="B7" s="7" t="s">
        <v>699</v>
      </c>
      <c r="C7" s="7" t="s">
        <v>697</v>
      </c>
      <c r="D7" s="7" t="n">
        <v>2</v>
      </c>
      <c r="E7" s="7" t="n">
        <v>3</v>
      </c>
      <c r="F7" s="7" t="s">
        <v>700</v>
      </c>
      <c r="G7" s="7" t="n">
        <f aca="false">D7*E7</f>
        <v>6</v>
      </c>
    </row>
    <row r="8" customFormat="false" ht="23.85" hidden="false" customHeight="false" outlineLevel="0" collapsed="false">
      <c r="A8" s="6" t="n">
        <v>5</v>
      </c>
      <c r="B8" s="6" t="s">
        <v>701</v>
      </c>
      <c r="C8" s="6" t="s">
        <v>691</v>
      </c>
      <c r="D8" s="6" t="n">
        <v>3</v>
      </c>
      <c r="E8" s="6" t="n">
        <v>3</v>
      </c>
      <c r="F8" s="6" t="s">
        <v>702</v>
      </c>
      <c r="G8" s="6" t="n">
        <f aca="false">D8*E8</f>
        <v>9</v>
      </c>
    </row>
    <row r="9" customFormat="false" ht="15" hidden="false" customHeight="false" outlineLevel="0" collapsed="false">
      <c r="A9" s="7" t="n">
        <v>6</v>
      </c>
      <c r="B9" s="7" t="s">
        <v>703</v>
      </c>
      <c r="C9" s="7" t="s">
        <v>704</v>
      </c>
      <c r="D9" s="7" t="n">
        <v>3</v>
      </c>
      <c r="E9" s="7" t="n">
        <v>5</v>
      </c>
      <c r="F9" s="7" t="s">
        <v>705</v>
      </c>
      <c r="G9" s="7" t="n">
        <f aca="false">D9*E9</f>
        <v>15</v>
      </c>
    </row>
    <row r="10" customFormat="false" ht="23.85" hidden="false" customHeight="false" outlineLevel="0" collapsed="false">
      <c r="A10" s="6" t="n">
        <v>7</v>
      </c>
      <c r="B10" s="6" t="s">
        <v>706</v>
      </c>
      <c r="C10" s="6" t="s">
        <v>604</v>
      </c>
      <c r="D10" s="6" t="n">
        <v>3</v>
      </c>
      <c r="E10" s="6" t="n">
        <v>5</v>
      </c>
      <c r="F10" s="6" t="s">
        <v>707</v>
      </c>
      <c r="G10" s="6" t="n">
        <f aca="false">D10*E10</f>
        <v>15</v>
      </c>
    </row>
    <row r="11" customFormat="false" ht="15" hidden="false" customHeight="false" outlineLevel="0" collapsed="false">
      <c r="A11" s="7" t="n">
        <v>8</v>
      </c>
      <c r="B11" s="7" t="s">
        <v>708</v>
      </c>
      <c r="C11" s="7" t="s">
        <v>602</v>
      </c>
      <c r="D11" s="7" t="n">
        <v>2</v>
      </c>
      <c r="E11" s="7" t="n">
        <v>4</v>
      </c>
      <c r="F11" s="7" t="s">
        <v>709</v>
      </c>
      <c r="G11" s="7" t="n">
        <f aca="false">D11*E11</f>
        <v>8</v>
      </c>
    </row>
    <row r="12" customFormat="false" ht="15" hidden="false" customHeight="false" outlineLevel="0" collapsed="false">
      <c r="A12" s="6" t="n">
        <v>9</v>
      </c>
      <c r="B12" s="6" t="s">
        <v>710</v>
      </c>
      <c r="C12" s="6" t="s">
        <v>585</v>
      </c>
      <c r="D12" s="6" t="n">
        <v>2</v>
      </c>
      <c r="E12" s="6" t="n">
        <v>4</v>
      </c>
      <c r="F12" s="6" t="s">
        <v>711</v>
      </c>
      <c r="G12" s="6" t="n">
        <f aca="false">D12*E12</f>
        <v>8</v>
      </c>
    </row>
    <row r="13" customFormat="false" ht="23.85" hidden="false" customHeight="false" outlineLevel="0" collapsed="false">
      <c r="A13" s="7" t="n">
        <v>10</v>
      </c>
      <c r="B13" s="7" t="s">
        <v>712</v>
      </c>
      <c r="C13" s="7" t="s">
        <v>704</v>
      </c>
      <c r="D13" s="7" t="n">
        <v>4</v>
      </c>
      <c r="E13" s="7" t="n">
        <v>4</v>
      </c>
      <c r="F13" s="7" t="s">
        <v>713</v>
      </c>
      <c r="G13" s="7" t="n">
        <f aca="false">D13*E13</f>
        <v>16</v>
      </c>
    </row>
    <row r="14" customFormat="false" ht="23.85" hidden="false" customHeight="false" outlineLevel="0" collapsed="false">
      <c r="A14" s="6" t="n">
        <v>11</v>
      </c>
      <c r="B14" s="6" t="s">
        <v>714</v>
      </c>
      <c r="C14" s="6" t="s">
        <v>704</v>
      </c>
      <c r="D14" s="6" t="n">
        <v>4</v>
      </c>
      <c r="E14" s="6" t="n">
        <v>3</v>
      </c>
      <c r="F14" s="6" t="s">
        <v>715</v>
      </c>
      <c r="G14" s="6" t="n">
        <f aca="false">D14*E14</f>
        <v>12</v>
      </c>
    </row>
    <row r="15" customFormat="false" ht="15" hidden="false" customHeight="false" outlineLevel="0" collapsed="false">
      <c r="A15" s="7" t="n">
        <v>12</v>
      </c>
      <c r="B15" s="7" t="s">
        <v>716</v>
      </c>
      <c r="C15" s="7" t="s">
        <v>694</v>
      </c>
      <c r="D15" s="7" t="n">
        <v>2</v>
      </c>
      <c r="E15" s="7" t="n">
        <v>4</v>
      </c>
      <c r="F15" s="7" t="s">
        <v>717</v>
      </c>
      <c r="G15" s="7" t="n">
        <f aca="false">D15*E15</f>
        <v>8</v>
      </c>
    </row>
    <row r="16" customFormat="false" ht="15" hidden="false" customHeight="false" outlineLevel="0" collapsed="false">
      <c r="A16" s="6" t="n">
        <v>13</v>
      </c>
      <c r="B16" s="6" t="s">
        <v>718</v>
      </c>
      <c r="C16" s="6" t="s">
        <v>719</v>
      </c>
      <c r="D16" s="6" t="n">
        <v>3</v>
      </c>
      <c r="E16" s="6" t="n">
        <v>3</v>
      </c>
      <c r="F16" s="6" t="s">
        <v>720</v>
      </c>
      <c r="G16" s="6" t="n">
        <f aca="false">D16*E16</f>
        <v>9</v>
      </c>
    </row>
    <row r="17" customFormat="false" ht="15" hidden="false" customHeight="false" outlineLevel="0" collapsed="false">
      <c r="A17" s="7" t="n">
        <v>14</v>
      </c>
      <c r="B17" s="7" t="s">
        <v>721</v>
      </c>
      <c r="C17" s="7" t="s">
        <v>604</v>
      </c>
      <c r="D17" s="7" t="n">
        <v>3</v>
      </c>
      <c r="E17" s="7" t="n">
        <v>4</v>
      </c>
      <c r="F17" s="7" t="s">
        <v>722</v>
      </c>
      <c r="G17" s="7" t="n">
        <f aca="false">D17*E17</f>
        <v>12</v>
      </c>
    </row>
    <row r="18" customFormat="false" ht="23.85" hidden="false" customHeight="false" outlineLevel="0" collapsed="false">
      <c r="A18" s="6" t="n">
        <v>15</v>
      </c>
      <c r="B18" s="6" t="s">
        <v>723</v>
      </c>
      <c r="C18" s="6" t="s">
        <v>724</v>
      </c>
      <c r="D18" s="6" t="n">
        <v>3</v>
      </c>
      <c r="E18" s="6" t="n">
        <v>4</v>
      </c>
      <c r="F18" s="6" t="s">
        <v>725</v>
      </c>
      <c r="G18" s="6" t="n">
        <f aca="false">D18*E18</f>
        <v>12</v>
      </c>
    </row>
  </sheetData>
  <mergeCells count="1">
    <mergeCell ref="A1:F1"/>
  </mergeCells>
  <conditionalFormatting sqref="G4:G18">
    <cfRule type="colorScale" priority="2">
      <colorScale>
        <cfvo type="num" val="1"/>
        <cfvo type="num" val="12"/>
        <cfvo type="num" val="25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5" min="4" style="0" width="22"/>
  </cols>
  <sheetData>
    <row r="1" customFormat="false" ht="27.75" hidden="false" customHeight="true" outlineLevel="0" collapsed="false">
      <c r="A1" s="1" t="s">
        <v>726</v>
      </c>
      <c r="B1" s="1"/>
      <c r="C1" s="1"/>
      <c r="D1" s="1"/>
      <c r="E1" s="1"/>
    </row>
    <row r="3" customFormat="false" ht="15" hidden="false" customHeight="false" outlineLevel="0" collapsed="false">
      <c r="A3" s="5" t="s">
        <v>684</v>
      </c>
      <c r="B3" s="5" t="s">
        <v>635</v>
      </c>
      <c r="C3" s="5" t="s">
        <v>727</v>
      </c>
      <c r="D3" s="5" t="s">
        <v>728</v>
      </c>
      <c r="E3" s="5" t="s">
        <v>729</v>
      </c>
    </row>
    <row r="4" customFormat="false" ht="15" hidden="false" customHeight="false" outlineLevel="0" collapsed="false">
      <c r="A4" s="6" t="n">
        <v>1</v>
      </c>
      <c r="B4" s="6" t="s">
        <v>730</v>
      </c>
      <c r="C4" s="6" t="s">
        <v>731</v>
      </c>
      <c r="D4" s="6" t="s">
        <v>55</v>
      </c>
      <c r="E4" s="6" t="s">
        <v>732</v>
      </c>
    </row>
    <row r="5" customFormat="false" ht="15" hidden="false" customHeight="false" outlineLevel="0" collapsed="false">
      <c r="A5" s="7" t="n">
        <v>2</v>
      </c>
      <c r="B5" s="7" t="s">
        <v>733</v>
      </c>
      <c r="C5" s="7" t="s">
        <v>734</v>
      </c>
      <c r="D5" s="7" t="s">
        <v>735</v>
      </c>
      <c r="E5" s="7" t="s">
        <v>736</v>
      </c>
    </row>
    <row r="6" customFormat="false" ht="15" hidden="false" customHeight="false" outlineLevel="0" collapsed="false">
      <c r="A6" s="6" t="n">
        <v>3</v>
      </c>
      <c r="B6" s="6" t="s">
        <v>737</v>
      </c>
      <c r="C6" s="6" t="s">
        <v>738</v>
      </c>
      <c r="D6" s="6" t="s">
        <v>78</v>
      </c>
      <c r="E6" s="6" t="s">
        <v>739</v>
      </c>
    </row>
    <row r="7" customFormat="false" ht="15" hidden="false" customHeight="false" outlineLevel="0" collapsed="false">
      <c r="A7" s="7" t="n">
        <v>4</v>
      </c>
      <c r="B7" s="7" t="s">
        <v>740</v>
      </c>
      <c r="C7" s="7" t="s">
        <v>738</v>
      </c>
      <c r="D7" s="7" t="s">
        <v>68</v>
      </c>
      <c r="E7" s="7" t="s">
        <v>77</v>
      </c>
    </row>
    <row r="8" customFormat="false" ht="15" hidden="false" customHeight="false" outlineLevel="0" collapsed="false">
      <c r="A8" s="6" t="n">
        <v>5</v>
      </c>
      <c r="B8" s="6" t="s">
        <v>741</v>
      </c>
      <c r="C8" s="6" t="s">
        <v>742</v>
      </c>
      <c r="D8" s="6" t="s">
        <v>73</v>
      </c>
      <c r="E8" s="6" t="s">
        <v>743</v>
      </c>
    </row>
    <row r="9" customFormat="false" ht="15" hidden="false" customHeight="false" outlineLevel="0" collapsed="false">
      <c r="A9" s="7" t="n">
        <v>6</v>
      </c>
      <c r="B9" s="7" t="s">
        <v>744</v>
      </c>
      <c r="C9" s="7" t="s">
        <v>745</v>
      </c>
      <c r="D9" s="7" t="s">
        <v>746</v>
      </c>
      <c r="E9" s="7" t="s">
        <v>747</v>
      </c>
    </row>
    <row r="10" customFormat="false" ht="15" hidden="false" customHeight="false" outlineLevel="0" collapsed="false">
      <c r="A10" s="6" t="n">
        <v>7</v>
      </c>
      <c r="B10" s="6" t="s">
        <v>748</v>
      </c>
      <c r="C10" s="6" t="s">
        <v>749</v>
      </c>
      <c r="D10" s="6" t="s">
        <v>53</v>
      </c>
      <c r="E10" s="6" t="s">
        <v>750</v>
      </c>
    </row>
    <row r="11" customFormat="false" ht="15" hidden="false" customHeight="false" outlineLevel="0" collapsed="false">
      <c r="A11" s="7" t="n">
        <v>8</v>
      </c>
      <c r="B11" s="7" t="s">
        <v>751</v>
      </c>
      <c r="C11" s="7" t="s">
        <v>752</v>
      </c>
      <c r="D11" s="7" t="s">
        <v>53</v>
      </c>
      <c r="E11" s="7" t="s">
        <v>753</v>
      </c>
    </row>
    <row r="12" customFormat="false" ht="15" hidden="false" customHeight="false" outlineLevel="0" collapsed="false">
      <c r="A12" s="6" t="n">
        <v>9</v>
      </c>
      <c r="B12" s="6" t="s">
        <v>754</v>
      </c>
      <c r="C12" s="6" t="s">
        <v>755</v>
      </c>
      <c r="D12" s="6" t="s">
        <v>53</v>
      </c>
      <c r="E12" s="6" t="s">
        <v>756</v>
      </c>
    </row>
    <row r="13" customFormat="false" ht="15" hidden="false" customHeight="false" outlineLevel="0" collapsed="false">
      <c r="A13" s="7" t="n">
        <v>10</v>
      </c>
      <c r="B13" s="7" t="s">
        <v>757</v>
      </c>
      <c r="C13" s="7" t="s">
        <v>758</v>
      </c>
      <c r="D13" s="7" t="s">
        <v>759</v>
      </c>
      <c r="E13" s="7" t="s">
        <v>760</v>
      </c>
    </row>
    <row r="14" customFormat="false" ht="15" hidden="false" customHeight="false" outlineLevel="0" collapsed="false">
      <c r="A14" s="6" t="n">
        <v>11</v>
      </c>
      <c r="B14" s="6" t="s">
        <v>761</v>
      </c>
      <c r="C14" s="6" t="s">
        <v>762</v>
      </c>
      <c r="D14" s="6" t="s">
        <v>53</v>
      </c>
      <c r="E14" s="6" t="s">
        <v>763</v>
      </c>
    </row>
    <row r="15" customFormat="false" ht="15" hidden="false" customHeight="false" outlineLevel="0" collapsed="false">
      <c r="A15" s="7" t="n">
        <v>12</v>
      </c>
      <c r="B15" s="7" t="s">
        <v>764</v>
      </c>
      <c r="C15" s="7" t="s">
        <v>765</v>
      </c>
      <c r="D15" s="7" t="s">
        <v>766</v>
      </c>
      <c r="E15" s="7" t="s">
        <v>767</v>
      </c>
    </row>
    <row r="16" customFormat="false" ht="15" hidden="false" customHeight="false" outlineLevel="0" collapsed="false">
      <c r="A16" s="6" t="n">
        <v>13</v>
      </c>
      <c r="B16" s="6" t="s">
        <v>768</v>
      </c>
      <c r="C16" s="6" t="s">
        <v>765</v>
      </c>
      <c r="D16" s="6" t="s">
        <v>769</v>
      </c>
      <c r="E16" s="6" t="s">
        <v>770</v>
      </c>
    </row>
    <row r="17" customFormat="false" ht="15" hidden="false" customHeight="false" outlineLevel="0" collapsed="false">
      <c r="A17" s="7" t="n">
        <v>14</v>
      </c>
      <c r="B17" s="7" t="s">
        <v>771</v>
      </c>
      <c r="C17" s="7" t="s">
        <v>765</v>
      </c>
      <c r="D17" s="7" t="s">
        <v>772</v>
      </c>
      <c r="E17" s="7" t="s">
        <v>773</v>
      </c>
    </row>
    <row r="18" customFormat="false" ht="15" hidden="false" customHeight="false" outlineLevel="0" collapsed="false">
      <c r="A18" s="6" t="n">
        <v>15</v>
      </c>
      <c r="B18" s="6" t="s">
        <v>774</v>
      </c>
      <c r="C18" s="6" t="s">
        <v>775</v>
      </c>
      <c r="D18" s="6" t="s">
        <v>743</v>
      </c>
      <c r="E18" s="6" t="s">
        <v>78</v>
      </c>
    </row>
    <row r="19" customFormat="false" ht="15" hidden="false" customHeight="false" outlineLevel="0" collapsed="false">
      <c r="A19" s="7" t="n">
        <v>16</v>
      </c>
      <c r="B19" s="7" t="s">
        <v>776</v>
      </c>
      <c r="C19" s="7" t="s">
        <v>777</v>
      </c>
      <c r="D19" s="7" t="s">
        <v>78</v>
      </c>
      <c r="E19" s="7" t="s">
        <v>778</v>
      </c>
    </row>
    <row r="20" customFormat="false" ht="15" hidden="false" customHeight="false" outlineLevel="0" collapsed="false">
      <c r="A20" s="6" t="n">
        <v>17</v>
      </c>
      <c r="B20" s="6" t="s">
        <v>779</v>
      </c>
      <c r="C20" s="6" t="s">
        <v>780</v>
      </c>
      <c r="D20" s="6" t="s">
        <v>73</v>
      </c>
      <c r="E20" s="6" t="s">
        <v>781</v>
      </c>
    </row>
    <row r="21" customFormat="false" ht="15" hidden="false" customHeight="false" outlineLevel="0" collapsed="false">
      <c r="A21" s="7" t="n">
        <v>18</v>
      </c>
      <c r="B21" s="7" t="s">
        <v>782</v>
      </c>
      <c r="C21" s="7" t="s">
        <v>783</v>
      </c>
      <c r="D21" s="7" t="s">
        <v>37</v>
      </c>
      <c r="E21" s="7" t="s">
        <v>48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2026-05-22T02:49:59Z</dcterms:created>
  <dc:creator>openpyxl</dc:creator>
  <dc:description/>
  <dc:language>en-US</dc:language>
  <cp:lastModifiedBy/>
  <dcterms:modified xsi:type="dcterms:W3CDTF">2026-05-22T02:50:00Z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